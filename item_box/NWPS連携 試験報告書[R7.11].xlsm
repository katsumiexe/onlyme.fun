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20" windowWidth="20730" windowHeight="11310"/>
  </bookViews>
  <sheets>
    <sheet name="Sheet1" sheetId="1" r:id="rId1"/>
  </sheets>
  <definedNames>
    <definedName name="_xlnm._FilterDatabase" localSheetId="0" hidden="1">Sheet1!$A$1:$D$94</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00" i="1" l="1"/>
  <c r="E99" i="1"/>
  <c r="E47" i="1" l="1"/>
  <c r="E41" i="1"/>
  <c r="E40" i="1"/>
  <c r="E39" i="1"/>
  <c r="E45" i="1"/>
  <c r="E43" i="1"/>
  <c r="E46" i="1"/>
  <c r="E4" i="1" l="1"/>
  <c r="E11" i="1"/>
  <c r="E6" i="1"/>
  <c r="E93" i="1"/>
  <c r="E92" i="1"/>
  <c r="E81" i="1"/>
  <c r="E35" i="1"/>
  <c r="E95" i="1"/>
  <c r="E96" i="1"/>
  <c r="E97" i="1"/>
  <c r="E98" i="1"/>
  <c r="E54" i="1" l="1"/>
  <c r="E62" i="1"/>
  <c r="E77" i="1"/>
  <c r="E78" i="1"/>
  <c r="E79" i="1"/>
  <c r="E76" i="1"/>
  <c r="B12" i="1"/>
  <c r="E12" i="1" s="1"/>
  <c r="B5" i="1"/>
  <c r="E5" i="1" s="1"/>
  <c r="B19" i="1"/>
  <c r="E19" i="1" s="1"/>
  <c r="B23" i="1"/>
  <c r="E23" i="1" s="1"/>
  <c r="E90" i="1"/>
  <c r="E89" i="1"/>
  <c r="B88" i="1"/>
  <c r="E88" i="1" s="1"/>
  <c r="B87" i="1"/>
  <c r="E87" i="1" s="1"/>
  <c r="E86" i="1"/>
  <c r="E84" i="1"/>
  <c r="E83" i="1"/>
  <c r="E74" i="1"/>
  <c r="E73" i="1"/>
  <c r="E72" i="1"/>
  <c r="E71" i="1"/>
  <c r="E70" i="1"/>
  <c r="E68" i="1"/>
  <c r="E67" i="1"/>
  <c r="E66" i="1"/>
  <c r="E65" i="1"/>
  <c r="E64" i="1"/>
  <c r="E61" i="1"/>
  <c r="E60" i="1"/>
  <c r="E59" i="1"/>
  <c r="E58" i="1"/>
  <c r="E57" i="1"/>
  <c r="E55" i="1"/>
  <c r="E53" i="1"/>
  <c r="E52" i="1"/>
  <c r="E51" i="1"/>
  <c r="E50" i="1"/>
  <c r="B48" i="1"/>
  <c r="E48" i="1" s="1"/>
  <c r="E44" i="1"/>
  <c r="E42" i="1"/>
  <c r="B37" i="1"/>
  <c r="E37" i="1" s="1"/>
  <c r="E36" i="1"/>
  <c r="E34" i="1"/>
  <c r="B33" i="1"/>
  <c r="E33" i="1" s="1"/>
  <c r="E32" i="1"/>
  <c r="E31" i="1"/>
  <c r="E30" i="1"/>
  <c r="E28" i="1"/>
  <c r="E27" i="1"/>
  <c r="E26" i="1"/>
  <c r="E25" i="1"/>
  <c r="E22" i="1"/>
  <c r="E21" i="1"/>
  <c r="E20" i="1"/>
  <c r="E17" i="1"/>
  <c r="E16" i="1"/>
  <c r="E15" i="1"/>
  <c r="E14" i="1"/>
  <c r="E13" i="1"/>
  <c r="E9" i="1"/>
  <c r="E8" i="1"/>
  <c r="E7" i="1"/>
  <c r="F103" i="1" l="1"/>
</calcChain>
</file>

<file path=xl/sharedStrings.xml><?xml version="1.0" encoding="utf-8"?>
<sst xmlns="http://schemas.openxmlformats.org/spreadsheetml/2006/main" count="261" uniqueCount="167">
  <si>
    <t>結果</t>
    <rPh sb="0" eb="2">
      <t>ケッカ</t>
    </rPh>
    <phoneticPr fontId="1"/>
  </si>
  <si>
    <t>#</t>
    <phoneticPr fontId="1"/>
  </si>
  <si>
    <t>必須</t>
    <rPh sb="0" eb="2">
      <t>ヒッス</t>
    </rPh>
    <phoneticPr fontId="1"/>
  </si>
  <si>
    <t>内容</t>
    <rPh sb="0" eb="2">
      <t>ナイヨウ</t>
    </rPh>
    <phoneticPr fontId="1"/>
  </si>
  <si>
    <t>1-1</t>
    <phoneticPr fontId="1"/>
  </si>
  <si>
    <t>●</t>
    <phoneticPr fontId="1"/>
  </si>
  <si>
    <t>●</t>
    <phoneticPr fontId="1"/>
  </si>
  <si>
    <t>正常終了（result:0）以外のレスポンスが返ってきたときに、ユーザーにメッセージを表示するなど、適切に処置している</t>
    <rPh sb="0" eb="2">
      <t>セイジョウ</t>
    </rPh>
    <rPh sb="2" eb="4">
      <t>シュウリョウ</t>
    </rPh>
    <rPh sb="14" eb="16">
      <t>イガイ</t>
    </rPh>
    <rPh sb="23" eb="24">
      <t>カエ</t>
    </rPh>
    <rPh sb="43" eb="45">
      <t>ヒョウジ</t>
    </rPh>
    <rPh sb="50" eb="52">
      <t>テキセツ</t>
    </rPh>
    <rPh sb="53" eb="55">
      <t>ショチ</t>
    </rPh>
    <phoneticPr fontId="1"/>
  </si>
  <si>
    <t>正常にログインできる</t>
    <rPh sb="0" eb="2">
      <t>セイジョウ</t>
    </rPh>
    <phoneticPr fontId="1"/>
  </si>
  <si>
    <t>正常に情報を取得できる</t>
    <rPh sb="0" eb="2">
      <t>セイジョウ</t>
    </rPh>
    <rPh sb="3" eb="5">
      <t>ジョウホウ</t>
    </rPh>
    <rPh sb="6" eb="8">
      <t>シュトク</t>
    </rPh>
    <phoneticPr fontId="1"/>
  </si>
  <si>
    <t>コメント</t>
    <phoneticPr fontId="1"/>
  </si>
  <si>
    <t>正規に発行されたアプリケーション認証キーを使用している</t>
    <rPh sb="0" eb="2">
      <t>マサノリ</t>
    </rPh>
    <phoneticPr fontId="1"/>
  </si>
  <si>
    <t>7-3</t>
  </si>
  <si>
    <t>7-4</t>
  </si>
  <si>
    <t>プリントデータの生成状態(status)やファイルの有効期限(deleteDate)などのファイル情報について、ユーザーに分かりやすく表示している</t>
    <rPh sb="8" eb="10">
      <t>セイセイ</t>
    </rPh>
    <rPh sb="10" eb="12">
      <t>ジョウタイ</t>
    </rPh>
    <rPh sb="26" eb="28">
      <t>ユウコウ</t>
    </rPh>
    <rPh sb="28" eb="30">
      <t>キゲン</t>
    </rPh>
    <rPh sb="49" eb="51">
      <t>ジョウホウ</t>
    </rPh>
    <rPh sb="61" eb="62">
      <t>ワ</t>
    </rPh>
    <rPh sb="67" eb="69">
      <t>ヒョウジ</t>
    </rPh>
    <phoneticPr fontId="1"/>
  </si>
  <si>
    <t>正常にURLを取得できる</t>
    <rPh sb="0" eb="2">
      <t>セイジョウ</t>
    </rPh>
    <rPh sb="7" eb="9">
      <t>シュトク</t>
    </rPh>
    <phoneticPr fontId="1"/>
  </si>
  <si>
    <t>取得したURLは加工せずに使用している。また、取得したURLの一部を改変して、別のプレビュー画像のURLを生成するようなことはしていない</t>
    <rPh sb="0" eb="2">
      <t>シュトク</t>
    </rPh>
    <rPh sb="8" eb="10">
      <t>カコウ</t>
    </rPh>
    <rPh sb="13" eb="15">
      <t>シヨウ</t>
    </rPh>
    <phoneticPr fontId="1"/>
  </si>
  <si>
    <t>指定したファイルを削除できる</t>
    <rPh sb="0" eb="2">
      <t>シテイ</t>
    </rPh>
    <rPh sb="9" eb="11">
      <t>サクジョ</t>
    </rPh>
    <phoneticPr fontId="1"/>
  </si>
  <si>
    <t>11-3</t>
  </si>
  <si>
    <t>ユーザーの誤操作によるファイル削除を防ぐため、確認ダイアログを表示するなどの予防措置がとられている</t>
    <rPh sb="5" eb="8">
      <t>ゴソウサ</t>
    </rPh>
    <rPh sb="15" eb="17">
      <t>サクジョ</t>
    </rPh>
    <rPh sb="18" eb="19">
      <t>フセ</t>
    </rPh>
    <rPh sb="23" eb="25">
      <t>カクニン</t>
    </rPh>
    <rPh sb="31" eb="33">
      <t>ヒョウジ</t>
    </rPh>
    <rPh sb="38" eb="40">
      <t>ヨボウ</t>
    </rPh>
    <rPh sb="40" eb="42">
      <t>ソチ</t>
    </rPh>
    <phoneticPr fontId="1"/>
  </si>
  <si>
    <t>正常にメッセージを取得できる</t>
    <rPh sb="0" eb="2">
      <t>セイジョウ</t>
    </rPh>
    <rPh sb="9" eb="11">
      <t>シュトク</t>
    </rPh>
    <phoneticPr fontId="1"/>
  </si>
  <si>
    <t>お知らせの内容（掲載日、タイトル、本文）がユーザーに分かりやすく表示されている。また、updateDateレスポンスの値をユーザーが確認する手段はない</t>
    <rPh sb="1" eb="2">
      <t>シ</t>
    </rPh>
    <rPh sb="5" eb="7">
      <t>ナイヨウ</t>
    </rPh>
    <rPh sb="8" eb="11">
      <t>ケイサイビ</t>
    </rPh>
    <rPh sb="17" eb="19">
      <t>ホンブン</t>
    </rPh>
    <rPh sb="26" eb="27">
      <t>ワ</t>
    </rPh>
    <rPh sb="32" eb="34">
      <t>ヒョウジ</t>
    </rPh>
    <rPh sb="59" eb="60">
      <t>アタイ</t>
    </rPh>
    <rPh sb="66" eb="68">
      <t>カクニン</t>
    </rPh>
    <rPh sb="70" eb="72">
      <t>シュダン</t>
    </rPh>
    <phoneticPr fontId="1"/>
  </si>
  <si>
    <t>アプリケーション認証キーは、コードの難読化や暗号化などによって、ユーザーが容易に知ることができない</t>
    <rPh sb="8" eb="10">
      <t>ニンショウ</t>
    </rPh>
    <rPh sb="18" eb="20">
      <t>ナンドク</t>
    </rPh>
    <rPh sb="20" eb="21">
      <t>カ</t>
    </rPh>
    <rPh sb="22" eb="25">
      <t>アンゴウカ</t>
    </rPh>
    <rPh sb="37" eb="39">
      <t>ヨウイ</t>
    </rPh>
    <rPh sb="40" eb="41">
      <t>シ</t>
    </rPh>
    <phoneticPr fontId="1"/>
  </si>
  <si>
    <r>
      <t>１．ログイン[</t>
    </r>
    <r>
      <rPr>
        <sz val="11"/>
        <rFont val="ＭＳ ゴシック"/>
        <family val="3"/>
        <charset val="128"/>
      </rPr>
      <t>login</t>
    </r>
    <r>
      <rPr>
        <sz val="11"/>
        <rFont val="ＭＳ Ｐゴシック"/>
        <family val="3"/>
        <charset val="128"/>
      </rPr>
      <t>]</t>
    </r>
    <phoneticPr fontId="1"/>
  </si>
  <si>
    <t>HTTP 503（Service Unavailable）エラーが返ってきたときに、getMessage(0)APIを実行し、サーバーがメンテナンス中かどうかを確認している。また、メンテナンス中だった場合は、ユーザーに適切なメッセージを表示している</t>
    <rPh sb="33" eb="34">
      <t>カエ</t>
    </rPh>
    <rPh sb="59" eb="61">
      <t>ジッコウ</t>
    </rPh>
    <rPh sb="74" eb="75">
      <t>チュウ</t>
    </rPh>
    <rPh sb="80" eb="82">
      <t>カクニン</t>
    </rPh>
    <rPh sb="96" eb="97">
      <t>チュウ</t>
    </rPh>
    <rPh sb="100" eb="102">
      <t>バアイ</t>
    </rPh>
    <rPh sb="109" eb="111">
      <t>テキセツ</t>
    </rPh>
    <rPh sb="118" eb="120">
      <t>ヒョウジ</t>
    </rPh>
    <phoneticPr fontId="1"/>
  </si>
  <si>
    <t>7-5</t>
  </si>
  <si>
    <t>8-4</t>
  </si>
  <si>
    <t>9-4</t>
  </si>
  <si>
    <t>10-4</t>
  </si>
  <si>
    <t>10-3</t>
  </si>
  <si>
    <t>10-5</t>
  </si>
  <si>
    <t>11-4</t>
  </si>
  <si>
    <t>セッションタイムアウト（result:299）のレスポンスが返ってきたときは、自動的に再ログインするなど、適切に処理している</t>
    <rPh sb="30" eb="31">
      <t>カエ</t>
    </rPh>
    <rPh sb="39" eb="42">
      <t>ジドウテキ</t>
    </rPh>
    <rPh sb="43" eb="44">
      <t>サイ</t>
    </rPh>
    <rPh sb="53" eb="55">
      <t>テキセツ</t>
    </rPh>
    <rPh sb="56" eb="58">
      <t>ショリ</t>
    </rPh>
    <phoneticPr fontId="1"/>
  </si>
  <si>
    <t>7-6</t>
  </si>
  <si>
    <t>8-3</t>
  </si>
  <si>
    <t>8-5</t>
  </si>
  <si>
    <t>9-3</t>
  </si>
  <si>
    <t>9-5</t>
  </si>
  <si>
    <t>サーバーメンテナンス中（result:199）のレスポンスが返ってきた場合に、再度本APIを実行していない</t>
    <rPh sb="10" eb="11">
      <t>チュウ</t>
    </rPh>
    <rPh sb="30" eb="31">
      <t>カエ</t>
    </rPh>
    <rPh sb="35" eb="37">
      <t>バアイ</t>
    </rPh>
    <rPh sb="39" eb="41">
      <t>サイド</t>
    </rPh>
    <rPh sb="41" eb="42">
      <t>ホン</t>
    </rPh>
    <rPh sb="46" eb="48">
      <t>ジッコウ</t>
    </rPh>
    <phoneticPr fontId="1"/>
  </si>
  <si>
    <t>テスト実施日</t>
    <rPh sb="3" eb="5">
      <t>ジッシ</t>
    </rPh>
    <rPh sb="5" eb="6">
      <t>ビ</t>
    </rPh>
    <phoneticPr fontId="1"/>
  </si>
  <si>
    <t>申請前チェック</t>
    <rPh sb="0" eb="2">
      <t>シンセイ</t>
    </rPh>
    <rPh sb="2" eb="3">
      <t>マエ</t>
    </rPh>
    <phoneticPr fontId="1"/>
  </si>
  <si>
    <t>ファイルサイズが大きすぎる、対応していないファイル形式である、ファイル名に利用できない文字が含まれているなど、明らかに登録できないことが分かっているようなファイルは本APIを実行することなくエラーとして処理している</t>
    <rPh sb="8" eb="9">
      <t>オオ</t>
    </rPh>
    <rPh sb="14" eb="16">
      <t>タイオウ</t>
    </rPh>
    <rPh sb="25" eb="27">
      <t>ケイシキ</t>
    </rPh>
    <rPh sb="35" eb="36">
      <t>メイ</t>
    </rPh>
    <rPh sb="37" eb="39">
      <t>リヨウ</t>
    </rPh>
    <rPh sb="43" eb="45">
      <t>モジ</t>
    </rPh>
    <rPh sb="46" eb="47">
      <t>フク</t>
    </rPh>
    <rPh sb="55" eb="56">
      <t>アキ</t>
    </rPh>
    <rPh sb="59" eb="61">
      <t>トウロク</t>
    </rPh>
    <rPh sb="68" eb="69">
      <t>ワ</t>
    </rPh>
    <rPh sb="82" eb="83">
      <t>ホン</t>
    </rPh>
    <rPh sb="87" eb="89">
      <t>ジッコウ</t>
    </rPh>
    <rPh sb="101" eb="103">
      <t>ショリ</t>
    </rPh>
    <phoneticPr fontId="1"/>
  </si>
  <si>
    <t>ファイルサイズが大きすぎる、対応していないファイル形式である、ファイル名に利用できない文字が含まれているなど、明らかに登録できないことが分かっているようなファイルは本APIを実行することなくエラーとして処理している</t>
    <phoneticPr fontId="1"/>
  </si>
  <si>
    <t>お知らせを表示する画面では、titleおよびcontentレスポンスの値のうち、&lt;br /&gt;タグを改行コードとして置換し、さらにその他のXHTMLタグを除去してから表示している
（XHTMLタグの文字列をそのまま表示しないでください。）</t>
    <rPh sb="1" eb="2">
      <t>シ</t>
    </rPh>
    <rPh sb="5" eb="7">
      <t>ヒョウジ</t>
    </rPh>
    <rPh sb="9" eb="11">
      <t>ガメン</t>
    </rPh>
    <rPh sb="35" eb="36">
      <t>アタイ</t>
    </rPh>
    <rPh sb="49" eb="51">
      <t>カイギョウ</t>
    </rPh>
    <rPh sb="57" eb="59">
      <t>チカン</t>
    </rPh>
    <rPh sb="66" eb="67">
      <t>タ</t>
    </rPh>
    <rPh sb="76" eb="78">
      <t>ジョキョ</t>
    </rPh>
    <rPh sb="82" eb="84">
      <t>ヒョウジ</t>
    </rPh>
    <rPh sb="98" eb="101">
      <t>モジレツ</t>
    </rPh>
    <rPh sb="106" eb="108">
      <t>ヒョウジ</t>
    </rPh>
    <phoneticPr fontId="1"/>
  </si>
  <si>
    <t>updateDateレスポンスの値が、前回getInformation()を実行したときのupdateDateの値と異なるときに、『お知らせが更新された』として判断している</t>
    <rPh sb="16" eb="17">
      <t>アタイ</t>
    </rPh>
    <rPh sb="19" eb="21">
      <t>ゼンカイ</t>
    </rPh>
    <rPh sb="38" eb="40">
      <t>ジッコウ</t>
    </rPh>
    <rPh sb="56" eb="57">
      <t>アタイ</t>
    </rPh>
    <rPh sb="58" eb="59">
      <t>コト</t>
    </rPh>
    <rPh sb="67" eb="68">
      <t>シ</t>
    </rPh>
    <rPh sb="71" eb="73">
      <t>コウシン</t>
    </rPh>
    <rPh sb="80" eb="82">
      <t>ハンダン</t>
    </rPh>
    <phoneticPr fontId="1"/>
  </si>
  <si>
    <t>1-2</t>
    <phoneticPr fontId="1"/>
  </si>
  <si>
    <t>●</t>
    <phoneticPr fontId="1"/>
  </si>
  <si>
    <t>正常にアカウント情報を更新できる</t>
    <rPh sb="0" eb="2">
      <t>セイジョウ</t>
    </rPh>
    <rPh sb="8" eb="10">
      <t>ジョウホウ</t>
    </rPh>
    <rPh sb="11" eb="13">
      <t>コウシン</t>
    </rPh>
    <phoneticPr fontId="1"/>
  </si>
  <si>
    <t>セッションタイムアウト（result:299）のレスポンスが返ってきたときは、自動的に再ログインするなど、適切に処理している</t>
    <phoneticPr fontId="1"/>
  </si>
  <si>
    <t>正常終了（result:0）以外のレスポンスが返ってきたときに、ユーザーにメッセージを表示するなど、適切に処置している</t>
    <phoneticPr fontId="1"/>
  </si>
  <si>
    <t>●</t>
    <phoneticPr fontId="1"/>
  </si>
  <si>
    <t>HTTP 503（Service Unavailable）エラーが返ってきたときに、getMessage(0)APIを実行し、サーバーがメンテナンス中かどうかを確認している。また、メンテナンス中だった場合は、ユーザーに適切なメッセージを表示している</t>
    <phoneticPr fontId="1"/>
  </si>
  <si>
    <t>ユーザーの利用端末情報を送信している</t>
    <phoneticPr fontId="1"/>
  </si>
  <si>
    <t>ユーザーの利用端末情報を送信している</t>
    <rPh sb="5" eb="7">
      <t>リヨウ</t>
    </rPh>
    <rPh sb="7" eb="9">
      <t>タンマツ</t>
    </rPh>
    <rPh sb="9" eb="11">
      <t>ジョウホウ</t>
    </rPh>
    <rPh sb="12" eb="14">
      <t>ソウシン</t>
    </rPh>
    <phoneticPr fontId="1"/>
  </si>
  <si>
    <t>NWPSサーバーで生成されたユーザー番号を、ユーザーが確認する手段がある</t>
    <rPh sb="9" eb="11">
      <t>セイセイ</t>
    </rPh>
    <rPh sb="18" eb="20">
      <t>バンゴウ</t>
    </rPh>
    <rPh sb="27" eb="29">
      <t>カクニン</t>
    </rPh>
    <rPh sb="31" eb="33">
      <t>シュダン</t>
    </rPh>
    <phoneticPr fontId="1"/>
  </si>
  <si>
    <t>●</t>
    <phoneticPr fontId="1"/>
  </si>
  <si>
    <t>●</t>
    <phoneticPr fontId="1"/>
  </si>
  <si>
    <t>（本APIでサムネイルURLを取得した場合のみ）
取得したサムネイルURLは加工せずに使用している。また、取得したURLの一部を改変して、別のプレビュー画像のURLを生成するようなことはしていない</t>
    <phoneticPr fontId="1"/>
  </si>
  <si>
    <t>（本APIでサムネイルURLを取得した場合のみ）
取得したサムネイルURLは加工せずに使用している。また、取得したURLの一部を改変して、別のプレビュー画像のURLを生成するようなことはしていない</t>
    <rPh sb="1" eb="2">
      <t>ホン</t>
    </rPh>
    <rPh sb="15" eb="17">
      <t>シュトク</t>
    </rPh>
    <rPh sb="19" eb="21">
      <t>バアイ</t>
    </rPh>
    <rPh sb="25" eb="27">
      <t>シュトク</t>
    </rPh>
    <rPh sb="38" eb="40">
      <t>カコウ</t>
    </rPh>
    <rPh sb="43" eb="45">
      <t>シヨウ</t>
    </rPh>
    <rPh sb="53" eb="55">
      <t>シュトク</t>
    </rPh>
    <rPh sb="61" eb="63">
      <t>イチブ</t>
    </rPh>
    <rPh sb="64" eb="66">
      <t>カイヘン</t>
    </rPh>
    <rPh sb="69" eb="70">
      <t>ベツ</t>
    </rPh>
    <rPh sb="76" eb="78">
      <t>ガゾウ</t>
    </rPh>
    <rPh sb="83" eb="85">
      <t>セイセイ</t>
    </rPh>
    <phoneticPr fontId="1"/>
  </si>
  <si>
    <t>あるAPIを実行した後、そのレスポンスを受信後１秒程度間隔をあけてから次のAPIを実行している</t>
    <rPh sb="6" eb="8">
      <t>ジッコウ</t>
    </rPh>
    <rPh sb="10" eb="11">
      <t>アト</t>
    </rPh>
    <rPh sb="20" eb="22">
      <t>ジュシン</t>
    </rPh>
    <rPh sb="22" eb="23">
      <t>ゴ</t>
    </rPh>
    <rPh sb="24" eb="25">
      <t>ビョウ</t>
    </rPh>
    <rPh sb="25" eb="27">
      <t>テイド</t>
    </rPh>
    <rPh sb="27" eb="29">
      <t>カンカク</t>
    </rPh>
    <rPh sb="35" eb="36">
      <t>ツギ</t>
    </rPh>
    <rPh sb="41" eb="43">
      <t>ジッコウ</t>
    </rPh>
    <phoneticPr fontId="1"/>
  </si>
  <si>
    <t>アプリ内のボタンの連打を禁止している。または連打された場合でも、WebAPIが連続実行されることはない</t>
    <phoneticPr fontId="1"/>
  </si>
  <si>
    <t>NWPS連携 試験報告書</t>
    <rPh sb="4" eb="6">
      <t>レンケイ</t>
    </rPh>
    <rPh sb="7" eb="9">
      <t>シケン</t>
    </rPh>
    <rPh sb="9" eb="12">
      <t>ホウコクショ</t>
    </rPh>
    <phoneticPr fontId="1"/>
  </si>
  <si>
    <t>特定のコンテンツサーバー以外のURLが指定されることはない。
※コメント欄に、コンテンツサーバーのドメイン名（またはIPアドレス）を記載してください。</t>
    <rPh sb="0" eb="2">
      <t>トクテイ</t>
    </rPh>
    <rPh sb="12" eb="14">
      <t>イガイ</t>
    </rPh>
    <rPh sb="19" eb="21">
      <t>シテイ</t>
    </rPh>
    <rPh sb="36" eb="37">
      <t>ラン</t>
    </rPh>
    <rPh sb="53" eb="54">
      <t>メイ</t>
    </rPh>
    <rPh sb="66" eb="68">
      <t>キサイ</t>
    </rPh>
    <phoneticPr fontId="1"/>
  </si>
  <si>
    <t>単一ユーザーでのサービス連携において、マルチスレッドなどによるNWPS WebAPIの並行実行をしていない。</t>
    <rPh sb="0" eb="2">
      <t>タンイツ</t>
    </rPh>
    <rPh sb="12" eb="14">
      <t>レンケイ</t>
    </rPh>
    <rPh sb="43" eb="45">
      <t>ヘイコウ</t>
    </rPh>
    <rPh sb="45" eb="47">
      <t>ジッコウ</t>
    </rPh>
    <phoneticPr fontId="1"/>
  </si>
  <si>
    <t>●</t>
    <phoneticPr fontId="1"/>
  </si>
  <si>
    <t>ファイル名および登録名が"㈱+①～Ⅱ㌔.jpg"の画像ファイルを正常に登録できる。また、NWPSに登録されたファイルのファイル名および登録名が"㈱+①～Ⅱ㌔.jpg"と一致している。
※連携するファイルが文書ファイルのみの場合は、適切な拡張子でテストしてください。
※ファイル名および登録名にマルチバイト文字が使用されることがない場合は、結果欄は"○"で結構です。</t>
    <rPh sb="4" eb="5">
      <t>メイ</t>
    </rPh>
    <rPh sb="8" eb="10">
      <t>トウロク</t>
    </rPh>
    <rPh sb="10" eb="11">
      <t>メイ</t>
    </rPh>
    <rPh sb="25" eb="27">
      <t>ガゾウ</t>
    </rPh>
    <rPh sb="32" eb="34">
      <t>セイジョウ</t>
    </rPh>
    <rPh sb="35" eb="37">
      <t>トウロク</t>
    </rPh>
    <rPh sb="49" eb="51">
      <t>トウロク</t>
    </rPh>
    <rPh sb="63" eb="64">
      <t>メイ</t>
    </rPh>
    <rPh sb="67" eb="69">
      <t>トウロク</t>
    </rPh>
    <rPh sb="69" eb="70">
      <t>メイ</t>
    </rPh>
    <rPh sb="84" eb="86">
      <t>イッチ</t>
    </rPh>
    <phoneticPr fontId="1"/>
  </si>
  <si>
    <t>ファイル名および登録名が"㈱+①～Ⅱ㌔.jpg"の画像ファイルを正常に登録できる。また、NWPSに登録されたファイルのファイル名および登録名が"㈱+①～Ⅱ㌔.jpg"と一致している。
※連携するファイルが文書ファイルのみの場合は、適切な拡張子でテストしてください。
※ファイル名および登録名にマルチバイト文字が使用されることがない場合は、結果欄は"○"で結構です。</t>
    <rPh sb="4" eb="5">
      <t>メイ</t>
    </rPh>
    <rPh sb="8" eb="10">
      <t>トウロク</t>
    </rPh>
    <rPh sb="10" eb="11">
      <t>メイ</t>
    </rPh>
    <rPh sb="25" eb="27">
      <t>ガゾウ</t>
    </rPh>
    <rPh sb="32" eb="34">
      <t>セイジョウ</t>
    </rPh>
    <rPh sb="35" eb="37">
      <t>トウロク</t>
    </rPh>
    <rPh sb="49" eb="51">
      <t>トウロク</t>
    </rPh>
    <rPh sb="63" eb="64">
      <t>メイ</t>
    </rPh>
    <rPh sb="67" eb="69">
      <t>トウロク</t>
    </rPh>
    <rPh sb="69" eb="70">
      <t>メイ</t>
    </rPh>
    <rPh sb="84" eb="86">
      <t>イッチ</t>
    </rPh>
    <rPh sb="93" eb="95">
      <t>レンケイ</t>
    </rPh>
    <rPh sb="102" eb="104">
      <t>ブンショ</t>
    </rPh>
    <rPh sb="115" eb="117">
      <t>テキセツ</t>
    </rPh>
    <rPh sb="118" eb="121">
      <t>カクチョウシ</t>
    </rPh>
    <phoneticPr fontId="1"/>
  </si>
  <si>
    <t>サーバービジー（result:1002）のレスポンスが返ってきたときに、一定時間後にリトライ処理を行っている。
※コメント欄にリトライ処理のインターバル（秒数）を記載してください。インターバルは5秒以上にしてください。
※リトライ処理をしない場合は結果欄を"×"とし、コメント欄に理由（例：「ビジー応答はエラーと同等の扱いとしている」等）をご記載ください。</t>
    <rPh sb="27" eb="28">
      <t>カエ</t>
    </rPh>
    <rPh sb="36" eb="38">
      <t>イッテイ</t>
    </rPh>
    <rPh sb="38" eb="40">
      <t>ジカン</t>
    </rPh>
    <rPh sb="40" eb="41">
      <t>ゴ</t>
    </rPh>
    <rPh sb="46" eb="48">
      <t>ショリ</t>
    </rPh>
    <rPh sb="49" eb="50">
      <t>オコナ</t>
    </rPh>
    <rPh sb="98" eb="99">
      <t>ビョウ</t>
    </rPh>
    <rPh sb="99" eb="101">
      <t>イジョウ</t>
    </rPh>
    <rPh sb="115" eb="117">
      <t>ショリ</t>
    </rPh>
    <rPh sb="121" eb="123">
      <t>バアイ</t>
    </rPh>
    <rPh sb="124" eb="126">
      <t>ケッカ</t>
    </rPh>
    <rPh sb="126" eb="127">
      <t>ラン</t>
    </rPh>
    <rPh sb="138" eb="139">
      <t>ラン</t>
    </rPh>
    <rPh sb="140" eb="142">
      <t>リユウ</t>
    </rPh>
    <rPh sb="143" eb="144">
      <t>レイ</t>
    </rPh>
    <rPh sb="149" eb="151">
      <t>オウトウ</t>
    </rPh>
    <rPh sb="156" eb="158">
      <t>ドウトウ</t>
    </rPh>
    <rPh sb="159" eb="160">
      <t>アツカ</t>
    </rPh>
    <rPh sb="167" eb="168">
      <t>ナド</t>
    </rPh>
    <rPh sb="171" eb="173">
      <t>キサイ</t>
    </rPh>
    <phoneticPr fontId="1"/>
  </si>
  <si>
    <t>サーバービジー（result:1002）のレスポンスが返ってきたときに、一定時間後にリトライ処理を行っている。
※コメント欄にリトライ処理のインターバル（秒数）を記載してください。インターバルは5秒以上にしてください。
※リトライ処理をしない場合は結果欄を"×"とし、コメント欄に理由（例：「ビジー応答はエラーと同等の扱いとしている」等）をご記載ください。</t>
    <rPh sb="27" eb="28">
      <t>カエ</t>
    </rPh>
    <rPh sb="36" eb="38">
      <t>イッテイ</t>
    </rPh>
    <rPh sb="38" eb="40">
      <t>ジカン</t>
    </rPh>
    <rPh sb="40" eb="41">
      <t>ゴ</t>
    </rPh>
    <rPh sb="46" eb="48">
      <t>ショリ</t>
    </rPh>
    <rPh sb="49" eb="50">
      <t>オコナ</t>
    </rPh>
    <rPh sb="61" eb="62">
      <t>ラン</t>
    </rPh>
    <rPh sb="67" eb="69">
      <t>ショリ</t>
    </rPh>
    <rPh sb="77" eb="78">
      <t>ビョウ</t>
    </rPh>
    <rPh sb="78" eb="79">
      <t>スウ</t>
    </rPh>
    <rPh sb="81" eb="83">
      <t>キサイ</t>
    </rPh>
    <phoneticPr fontId="1"/>
  </si>
  <si>
    <t>ファイル名の長さは適切（100文字以下を推奨）である。
※ファイル名が長いと登録に失敗することがあります。</t>
    <rPh sb="4" eb="5">
      <t>メイ</t>
    </rPh>
    <rPh sb="6" eb="7">
      <t>ナガ</t>
    </rPh>
    <rPh sb="9" eb="11">
      <t>テキセツ</t>
    </rPh>
    <rPh sb="15" eb="17">
      <t>モジ</t>
    </rPh>
    <rPh sb="17" eb="19">
      <t>イカ</t>
    </rPh>
    <rPh sb="20" eb="22">
      <t>スイショウ</t>
    </rPh>
    <rPh sb="33" eb="34">
      <t>メイ</t>
    </rPh>
    <rPh sb="35" eb="36">
      <t>ナガ</t>
    </rPh>
    <rPh sb="38" eb="40">
      <t>トウロク</t>
    </rPh>
    <rPh sb="41" eb="43">
      <t>シッパイ</t>
    </rPh>
    <phoneticPr fontId="1"/>
  </si>
  <si>
    <t>正常にログアウトできる</t>
    <rPh sb="0" eb="2">
      <t>セイジョウ</t>
    </rPh>
    <phoneticPr fontId="1"/>
  </si>
  <si>
    <t>正常にメンテナンス情報を取得できる</t>
    <rPh sb="0" eb="2">
      <t>セイジョウ</t>
    </rPh>
    <rPh sb="9" eb="11">
      <t>ジョウホウ</t>
    </rPh>
    <rPh sb="12" eb="14">
      <t>シュトク</t>
    </rPh>
    <phoneticPr fontId="1"/>
  </si>
  <si>
    <t>現在のサービス状態（status）やメンテナンス情報(maintenanceTime)などの情報について、ユーザーに分かりやすく表示している</t>
    <phoneticPr fontId="1"/>
  </si>
  <si>
    <t>少なくとも[login/loginForGuest2]APIを実行するたびに本APIを実行し、最新のシステム仕様を取得するように実装している</t>
    <rPh sb="0" eb="1">
      <t>スク</t>
    </rPh>
    <rPh sb="31" eb="33">
      <t>ジッコウ</t>
    </rPh>
    <rPh sb="38" eb="39">
      <t>ホン</t>
    </rPh>
    <rPh sb="43" eb="45">
      <t>ジッコウ</t>
    </rPh>
    <rPh sb="47" eb="49">
      <t>サイシン</t>
    </rPh>
    <rPh sb="54" eb="56">
      <t>シヨウ</t>
    </rPh>
    <rPh sb="57" eb="59">
      <t>シュトク</t>
    </rPh>
    <rPh sb="64" eb="66">
      <t>ジッソウ</t>
    </rPh>
    <phoneticPr fontId="1"/>
  </si>
  <si>
    <t>一連のファイル登録後、また別のファイルを登録する場合は、先に取得している認証トークンを再利用せず、loginForGuest2()APIを実行して新しく取得した認証トークンを使用している</t>
    <rPh sb="0" eb="2">
      <t>イチレン</t>
    </rPh>
    <rPh sb="7" eb="9">
      <t>トウロク</t>
    </rPh>
    <rPh sb="9" eb="10">
      <t>ゴ</t>
    </rPh>
    <rPh sb="13" eb="14">
      <t>ベツ</t>
    </rPh>
    <rPh sb="20" eb="22">
      <t>トウロク</t>
    </rPh>
    <rPh sb="24" eb="26">
      <t>バアイ</t>
    </rPh>
    <rPh sb="28" eb="29">
      <t>サキ</t>
    </rPh>
    <rPh sb="30" eb="32">
      <t>シュトク</t>
    </rPh>
    <rPh sb="36" eb="38">
      <t>ニンショウ</t>
    </rPh>
    <rPh sb="43" eb="46">
      <t>サイリヨウ</t>
    </rPh>
    <rPh sb="69" eb="71">
      <t>ジッコウ</t>
    </rPh>
    <rPh sb="73" eb="74">
      <t>アタラ</t>
    </rPh>
    <rPh sb="76" eb="78">
      <t>シュトク</t>
    </rPh>
    <rPh sb="80" eb="82">
      <t>ニンショウ</t>
    </rPh>
    <rPh sb="87" eb="89">
      <t>シヨウ</t>
    </rPh>
    <phoneticPr fontId="1"/>
  </si>
  <si>
    <r>
      <t>２．ゲスト（非会員）ログイン[</t>
    </r>
    <r>
      <rPr>
        <sz val="11"/>
        <rFont val="ＭＳ ゴシック"/>
        <family val="3"/>
        <charset val="128"/>
      </rPr>
      <t>loginForGuest2</t>
    </r>
    <r>
      <rPr>
        <sz val="11"/>
        <rFont val="ＭＳ Ｐゴシック"/>
        <family val="3"/>
        <charset val="128"/>
      </rPr>
      <t>]</t>
    </r>
    <rPh sb="6" eb="9">
      <t>ヒカイイン</t>
    </rPh>
    <phoneticPr fontId="1"/>
  </si>
  <si>
    <t>2-1</t>
    <phoneticPr fontId="1"/>
  </si>
  <si>
    <t>2-2</t>
  </si>
  <si>
    <r>
      <t>３．システム仕様の取得[</t>
    </r>
    <r>
      <rPr>
        <sz val="11"/>
        <rFont val="ＭＳ ゴシック"/>
        <family val="3"/>
        <charset val="128"/>
      </rPr>
      <t>getSpecs</t>
    </r>
    <r>
      <rPr>
        <sz val="11"/>
        <rFont val="ＭＳ Ｐゴシック"/>
        <family val="3"/>
        <charset val="128"/>
      </rPr>
      <t>]</t>
    </r>
    <rPh sb="6" eb="8">
      <t>シヨウ</t>
    </rPh>
    <rPh sb="9" eb="11">
      <t>シュトク</t>
    </rPh>
    <phoneticPr fontId="1"/>
  </si>
  <si>
    <t>3-1</t>
    <phoneticPr fontId="1"/>
  </si>
  <si>
    <r>
      <t>４．現在のステータスの取得[</t>
    </r>
    <r>
      <rPr>
        <sz val="11"/>
        <rFont val="ＭＳ ゴシック"/>
        <family val="3"/>
        <charset val="128"/>
      </rPr>
      <t>getMyStatus</t>
    </r>
    <r>
      <rPr>
        <sz val="11"/>
        <rFont val="ＭＳ Ｐゴシック"/>
        <family val="3"/>
        <charset val="128"/>
      </rPr>
      <t>]</t>
    </r>
    <rPh sb="2" eb="4">
      <t>ゲンザイ</t>
    </rPh>
    <rPh sb="11" eb="13">
      <t>シュトク</t>
    </rPh>
    <phoneticPr fontId="1"/>
  </si>
  <si>
    <t>4-1</t>
    <phoneticPr fontId="1"/>
  </si>
  <si>
    <t>4-2</t>
  </si>
  <si>
    <t>4-3</t>
  </si>
  <si>
    <t>4-4</t>
  </si>
  <si>
    <r>
      <t>５．ファイル登録（ストリーム送信）[</t>
    </r>
    <r>
      <rPr>
        <sz val="11"/>
        <rFont val="ＭＳ ゴシック"/>
        <family val="3"/>
        <charset val="128"/>
      </rPr>
      <t>uploadFile2</t>
    </r>
    <r>
      <rPr>
        <sz val="11"/>
        <rFont val="ＭＳ Ｐゴシック"/>
        <family val="3"/>
        <charset val="128"/>
      </rPr>
      <t>]</t>
    </r>
    <rPh sb="6" eb="8">
      <t>トウロク</t>
    </rPh>
    <rPh sb="14" eb="16">
      <t>ソウシン</t>
    </rPh>
    <phoneticPr fontId="1"/>
  </si>
  <si>
    <t>5-1</t>
    <phoneticPr fontId="1"/>
  </si>
  <si>
    <t>5-2</t>
  </si>
  <si>
    <t>5-3</t>
  </si>
  <si>
    <t>5-4</t>
  </si>
  <si>
    <t>5-5</t>
  </si>
  <si>
    <t>5-6</t>
  </si>
  <si>
    <t>5-7</t>
  </si>
  <si>
    <t>5-8</t>
  </si>
  <si>
    <r>
      <t>６．ファイル登録（URL指定）[</t>
    </r>
    <r>
      <rPr>
        <sz val="11"/>
        <rFont val="ＭＳ ゴシック"/>
        <family val="3"/>
        <charset val="128"/>
      </rPr>
      <t>registFile</t>
    </r>
    <r>
      <rPr>
        <sz val="11"/>
        <rFont val="ＭＳ Ｐゴシック"/>
        <family val="3"/>
        <charset val="128"/>
      </rPr>
      <t>]</t>
    </r>
    <rPh sb="6" eb="8">
      <t>トウロク</t>
    </rPh>
    <rPh sb="12" eb="14">
      <t>シテイ</t>
    </rPh>
    <phoneticPr fontId="1"/>
  </si>
  <si>
    <t>6-1</t>
    <phoneticPr fontId="1"/>
  </si>
  <si>
    <t>6-2</t>
  </si>
  <si>
    <r>
      <t>７．ファイル情報の取得[</t>
    </r>
    <r>
      <rPr>
        <sz val="11"/>
        <rFont val="ＭＳ ゴシック"/>
        <family val="3"/>
        <charset val="128"/>
      </rPr>
      <t>getFileInfo</t>
    </r>
    <r>
      <rPr>
        <sz val="11"/>
        <rFont val="ＭＳ Ｐゴシック"/>
        <family val="3"/>
        <charset val="128"/>
      </rPr>
      <t>]</t>
    </r>
    <rPh sb="6" eb="8">
      <t>ジョウホウ</t>
    </rPh>
    <rPh sb="9" eb="11">
      <t>シュトク</t>
    </rPh>
    <phoneticPr fontId="1"/>
  </si>
  <si>
    <t>7-1</t>
    <phoneticPr fontId="1"/>
  </si>
  <si>
    <t>7-2</t>
  </si>
  <si>
    <r>
      <t>８．ファイル情報の取得[</t>
    </r>
    <r>
      <rPr>
        <sz val="11"/>
        <rFont val="ＭＳ ゴシック"/>
        <family val="3"/>
        <charset val="128"/>
      </rPr>
      <t>getFileList</t>
    </r>
    <r>
      <rPr>
        <sz val="11"/>
        <rFont val="ＭＳ Ｐゴシック"/>
        <family val="3"/>
        <charset val="128"/>
      </rPr>
      <t>]</t>
    </r>
    <rPh sb="6" eb="8">
      <t>ジョウホウ</t>
    </rPh>
    <rPh sb="9" eb="11">
      <t>シュトク</t>
    </rPh>
    <phoneticPr fontId="1"/>
  </si>
  <si>
    <t>8-1</t>
    <phoneticPr fontId="1"/>
  </si>
  <si>
    <t>8-2</t>
  </si>
  <si>
    <t>8-6</t>
  </si>
  <si>
    <r>
      <t>９．プレビュー画像URLの取得[</t>
    </r>
    <r>
      <rPr>
        <sz val="11"/>
        <rFont val="ＭＳ ゴシック"/>
        <family val="3"/>
        <charset val="128"/>
      </rPr>
      <t>getPreviewURL</t>
    </r>
    <r>
      <rPr>
        <sz val="11"/>
        <rFont val="ＭＳ Ｐゴシック"/>
        <family val="3"/>
        <charset val="128"/>
      </rPr>
      <t>]</t>
    </r>
    <rPh sb="7" eb="9">
      <t>ガゾウ</t>
    </rPh>
    <rPh sb="13" eb="15">
      <t>シュトク</t>
    </rPh>
    <phoneticPr fontId="1"/>
  </si>
  <si>
    <t>9-1</t>
    <phoneticPr fontId="1"/>
  </si>
  <si>
    <t>9-2</t>
  </si>
  <si>
    <r>
      <t>１０．ファイル削除[</t>
    </r>
    <r>
      <rPr>
        <sz val="11"/>
        <rFont val="ＭＳ ゴシック"/>
        <family val="3"/>
        <charset val="128"/>
      </rPr>
      <t>deleteFile</t>
    </r>
    <r>
      <rPr>
        <sz val="11"/>
        <rFont val="ＭＳ Ｐゴシック"/>
        <family val="3"/>
        <charset val="128"/>
      </rPr>
      <t>]</t>
    </r>
    <rPh sb="7" eb="9">
      <t>サクジョ</t>
    </rPh>
    <phoneticPr fontId="1"/>
  </si>
  <si>
    <t>10-1</t>
    <phoneticPr fontId="1"/>
  </si>
  <si>
    <t>10-2</t>
  </si>
  <si>
    <r>
      <t>１１．アカウント情報の更新[</t>
    </r>
    <r>
      <rPr>
        <sz val="11"/>
        <rFont val="ＭＳ ゴシック"/>
        <family val="3"/>
        <charset val="128"/>
      </rPr>
      <t>updateAccount</t>
    </r>
    <r>
      <rPr>
        <sz val="11"/>
        <rFont val="ＭＳ Ｐゴシック"/>
        <family val="3"/>
        <charset val="128"/>
      </rPr>
      <t>]</t>
    </r>
    <rPh sb="8" eb="10">
      <t>ジョウホウ</t>
    </rPh>
    <rPh sb="11" eb="13">
      <t>コウシン</t>
    </rPh>
    <phoneticPr fontId="1"/>
  </si>
  <si>
    <t>11-1</t>
    <phoneticPr fontId="1"/>
  </si>
  <si>
    <t>11-2</t>
  </si>
  <si>
    <r>
      <t>１２．ログアウト[</t>
    </r>
    <r>
      <rPr>
        <sz val="11"/>
        <rFont val="ＭＳ ゴシック"/>
        <family val="3"/>
        <charset val="128"/>
      </rPr>
      <t>logout</t>
    </r>
    <r>
      <rPr>
        <sz val="11"/>
        <rFont val="ＭＳ Ｐゴシック"/>
        <family val="3"/>
        <charset val="128"/>
      </rPr>
      <t>]</t>
    </r>
    <phoneticPr fontId="1"/>
  </si>
  <si>
    <t>12-1</t>
    <phoneticPr fontId="1"/>
  </si>
  <si>
    <r>
      <t>１３．メッセージの取得[</t>
    </r>
    <r>
      <rPr>
        <sz val="11"/>
        <rFont val="ＭＳ ゴシック"/>
        <family val="3"/>
        <charset val="128"/>
      </rPr>
      <t>getMessage</t>
    </r>
    <r>
      <rPr>
        <sz val="11"/>
        <rFont val="ＭＳ Ｐゴシック"/>
        <family val="3"/>
        <charset val="128"/>
      </rPr>
      <t>]</t>
    </r>
    <rPh sb="9" eb="11">
      <t>シュトク</t>
    </rPh>
    <phoneticPr fontId="1"/>
  </si>
  <si>
    <t>13-1</t>
    <phoneticPr fontId="1"/>
  </si>
  <si>
    <t>13-2</t>
  </si>
  <si>
    <r>
      <t>１４．お知らせの取得[</t>
    </r>
    <r>
      <rPr>
        <sz val="11"/>
        <rFont val="ＭＳ ゴシック"/>
        <family val="3"/>
        <charset val="128"/>
      </rPr>
      <t>getInformation</t>
    </r>
    <r>
      <rPr>
        <sz val="11"/>
        <rFont val="ＭＳ Ｐゴシック"/>
        <family val="3"/>
        <charset val="128"/>
      </rPr>
      <t>]</t>
    </r>
    <rPh sb="4" eb="5">
      <t>シ</t>
    </rPh>
    <rPh sb="8" eb="10">
      <t>シュトク</t>
    </rPh>
    <phoneticPr fontId="1"/>
  </si>
  <si>
    <t>14-1</t>
    <phoneticPr fontId="1"/>
  </si>
  <si>
    <t>14-2
　　-1</t>
    <phoneticPr fontId="1"/>
  </si>
  <si>
    <t>14-2
　　-2</t>
    <phoneticPr fontId="1"/>
  </si>
  <si>
    <t>14-3</t>
    <phoneticPr fontId="1"/>
  </si>
  <si>
    <t>14-4</t>
    <phoneticPr fontId="1"/>
  </si>
  <si>
    <r>
      <t>１５．メンテナンス情報の取得[</t>
    </r>
    <r>
      <rPr>
        <sz val="11"/>
        <rFont val="ＭＳ ゴシック"/>
        <family val="3"/>
        <charset val="128"/>
      </rPr>
      <t>maintenanceInfo</t>
    </r>
    <r>
      <rPr>
        <sz val="11"/>
        <rFont val="ＭＳ Ｐゴシック"/>
        <family val="3"/>
        <charset val="128"/>
      </rPr>
      <t>]</t>
    </r>
    <rPh sb="9" eb="11">
      <t>ジョウホウ</t>
    </rPh>
    <rPh sb="12" eb="14">
      <t>シュトク</t>
    </rPh>
    <phoneticPr fontId="1"/>
  </si>
  <si>
    <t>15-1</t>
    <phoneticPr fontId="1"/>
  </si>
  <si>
    <t>15-2</t>
  </si>
  <si>
    <t>１６．その他</t>
    <rPh sb="5" eb="6">
      <t>タ</t>
    </rPh>
    <phoneticPr fontId="1"/>
  </si>
  <si>
    <t>16-1</t>
    <phoneticPr fontId="1"/>
  </si>
  <si>
    <t>16-2</t>
  </si>
  <si>
    <t>16-3</t>
  </si>
  <si>
    <t>16-4</t>
  </si>
  <si>
    <t>6-3</t>
    <phoneticPr fontId="1"/>
  </si>
  <si>
    <t>6-4</t>
    <phoneticPr fontId="1"/>
  </si>
  <si>
    <t>6-5</t>
    <phoneticPr fontId="1"/>
  </si>
  <si>
    <t>6-6</t>
    <phoneticPr fontId="1"/>
  </si>
  <si>
    <t>6-7</t>
    <phoneticPr fontId="1"/>
  </si>
  <si>
    <t>6-8</t>
    <phoneticPr fontId="1"/>
  </si>
  <si>
    <t>6-10</t>
    <phoneticPr fontId="1"/>
  </si>
  <si>
    <t>リクエストヘッダで連携サイトの認証情報（トークンなど）を指定する場合は、ファイル登録までの間に認証処理を行っている。また、認証情報の生存期間が十分に確保できている（ファイル登録までに認証情報のタイムアウトが発生しないこと）。</t>
    <rPh sb="9" eb="11">
      <t>レンケイ</t>
    </rPh>
    <rPh sb="15" eb="17">
      <t>ニンショウ</t>
    </rPh>
    <rPh sb="17" eb="19">
      <t>ジョウホウ</t>
    </rPh>
    <rPh sb="28" eb="30">
      <t>シテイ</t>
    </rPh>
    <rPh sb="32" eb="34">
      <t>バアイ</t>
    </rPh>
    <rPh sb="40" eb="42">
      <t>トウロク</t>
    </rPh>
    <rPh sb="45" eb="46">
      <t>アイダ</t>
    </rPh>
    <rPh sb="47" eb="49">
      <t>ニンショウ</t>
    </rPh>
    <rPh sb="49" eb="51">
      <t>ショリ</t>
    </rPh>
    <rPh sb="52" eb="53">
      <t>オコナ</t>
    </rPh>
    <rPh sb="61" eb="63">
      <t>ニンショウ</t>
    </rPh>
    <rPh sb="63" eb="65">
      <t>ジョウホウ</t>
    </rPh>
    <rPh sb="66" eb="68">
      <t>セイゾン</t>
    </rPh>
    <rPh sb="68" eb="70">
      <t>キカン</t>
    </rPh>
    <rPh sb="71" eb="73">
      <t>ジュウブン</t>
    </rPh>
    <rPh sb="74" eb="76">
      <t>カクホ</t>
    </rPh>
    <rPh sb="86" eb="88">
      <t>トウロク</t>
    </rPh>
    <rPh sb="91" eb="93">
      <t>ニンショウ</t>
    </rPh>
    <rPh sb="93" eb="95">
      <t>ジョウホウ</t>
    </rPh>
    <rPh sb="103" eb="105">
      <t>ハッセイ</t>
    </rPh>
    <phoneticPr fontId="1"/>
  </si>
  <si>
    <t>6-9</t>
  </si>
  <si>
    <t>●</t>
    <phoneticPr fontId="1"/>
  </si>
  <si>
    <t>ファイル名の長さは適切（100文字以下を推奨）である。
※ファイル名が長いと登録に失敗することがあります。</t>
    <phoneticPr fontId="1"/>
  </si>
  <si>
    <t>～</t>
    <phoneticPr fontId="1"/>
  </si>
  <si>
    <t>1-3</t>
    <phoneticPr fontId="1"/>
  </si>
  <si>
    <t>1-4</t>
    <phoneticPr fontId="1"/>
  </si>
  <si>
    <t>1-5</t>
    <phoneticPr fontId="1"/>
  </si>
  <si>
    <t>1-6</t>
    <phoneticPr fontId="1"/>
  </si>
  <si>
    <t>2-3</t>
    <phoneticPr fontId="1"/>
  </si>
  <si>
    <t>2-4</t>
    <phoneticPr fontId="1"/>
  </si>
  <si>
    <t>2-5</t>
    <phoneticPr fontId="1"/>
  </si>
  <si>
    <t>2-6</t>
    <phoneticPr fontId="1"/>
  </si>
  <si>
    <t>2-7</t>
    <phoneticPr fontId="1"/>
  </si>
  <si>
    <t>3-2</t>
    <phoneticPr fontId="1"/>
  </si>
  <si>
    <t>3-3</t>
    <phoneticPr fontId="1"/>
  </si>
  <si>
    <t>3-4</t>
    <phoneticPr fontId="1"/>
  </si>
  <si>
    <t>3-5</t>
    <phoneticPr fontId="1"/>
  </si>
  <si>
    <t>16-5</t>
    <phoneticPr fontId="1"/>
  </si>
  <si>
    <t>16-6</t>
    <phoneticPr fontId="1"/>
  </si>
  <si>
    <t>ユーザーからのインプット（入力文字数）が多い場合に、NWPSに渡すPDFがレイアウト崩れを起こしていない</t>
    <rPh sb="13" eb="15">
      <t>ニュウリョク</t>
    </rPh>
    <rPh sb="15" eb="18">
      <t>モジスウ</t>
    </rPh>
    <rPh sb="20" eb="21">
      <t>オオ</t>
    </rPh>
    <rPh sb="22" eb="24">
      <t>バアイ</t>
    </rPh>
    <rPh sb="31" eb="32">
      <t>ワタ</t>
    </rPh>
    <rPh sb="42" eb="43">
      <t>クズ</t>
    </rPh>
    <rPh sb="45" eb="46">
      <t>オ</t>
    </rPh>
    <phoneticPr fontId="1"/>
  </si>
  <si>
    <t>APIバージョンは"2.7"を指定している</t>
    <rPh sb="15" eb="17">
      <t>シテイ</t>
    </rPh>
    <phoneticPr fontId="1"/>
  </si>
  <si>
    <t>お知らせを表示する画面では、titleおよびcontentレスポンスの値をXHTMLとして扱い、&lt;a&gt;タグによるハイパーリンクなどが正常に動作する
（XHTMLタグの文字列をそのまま表示しないでください。XHTMLとして扱うことが困難な場合は、下記14-2-2の方法で対応してください。）</t>
    <rPh sb="1" eb="2">
      <t>シ</t>
    </rPh>
    <rPh sb="5" eb="7">
      <t>ヒョウジ</t>
    </rPh>
    <rPh sb="9" eb="11">
      <t>ガメン</t>
    </rPh>
    <rPh sb="35" eb="36">
      <t>アタイ</t>
    </rPh>
    <rPh sb="45" eb="46">
      <t>アツカ</t>
    </rPh>
    <rPh sb="66" eb="68">
      <t>セイジョウ</t>
    </rPh>
    <rPh sb="69" eb="71">
      <t>ドウサ</t>
    </rPh>
    <rPh sb="83" eb="86">
      <t>モジレツ</t>
    </rPh>
    <rPh sb="91" eb="93">
      <t>ヒョウジ</t>
    </rPh>
    <rPh sb="110" eb="111">
      <t>アツカ</t>
    </rPh>
    <rPh sb="115" eb="117">
      <t>コンナン</t>
    </rPh>
    <rPh sb="118" eb="120">
      <t>バアイ</t>
    </rPh>
    <rPh sb="122" eb="124">
      <t>カキ</t>
    </rPh>
    <rPh sb="131" eb="133">
      <t>ホウホウ</t>
    </rPh>
    <rPh sb="134" eb="136">
      <t>タイオウ</t>
    </rPh>
    <phoneticPr fontId="1"/>
  </si>
  <si>
    <t>R7.11 2020.01.09</t>
    <phoneticPr fontId="1"/>
  </si>
  <si>
    <t>最終的にユーザーにユーザー番号を見せる段階では、対象のファイルが正常に印刷できる状態になっている
（getFileInfoまたはgetFileListでファイルの登録状況の監視を行い、本登録がエラーになっていないこと）</t>
    <rPh sb="0" eb="3">
      <t>サイシュウテキ</t>
    </rPh>
    <rPh sb="13" eb="15">
      <t>バンゴウ</t>
    </rPh>
    <rPh sb="16" eb="17">
      <t>ミ</t>
    </rPh>
    <rPh sb="19" eb="21">
      <t>ダンカイ</t>
    </rPh>
    <rPh sb="24" eb="26">
      <t>タイショウ</t>
    </rPh>
    <rPh sb="32" eb="34">
      <t>セイジョウ</t>
    </rPh>
    <rPh sb="35" eb="37">
      <t>インサツ</t>
    </rPh>
    <rPh sb="40" eb="42">
      <t>ジョウタイ</t>
    </rPh>
    <rPh sb="81" eb="83">
      <t>トウロク</t>
    </rPh>
    <rPh sb="83" eb="85">
      <t>ジョウキョウ</t>
    </rPh>
    <rPh sb="86" eb="88">
      <t>カンシ</t>
    </rPh>
    <rPh sb="89" eb="90">
      <t>オコナ</t>
    </rPh>
    <rPh sb="92" eb="93">
      <t>ホン</t>
    </rPh>
    <rPh sb="93" eb="95">
      <t>トウロク</t>
    </rPh>
    <phoneticPr fontId="1"/>
  </si>
  <si>
    <t>○</t>
  </si>
  <si>
    <t>×</t>
  </si>
  <si>
    <t xml:space="preserve">ビジーの際は失敗扱いとし、お客様判断でリトライ頂く予定です。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</si>
</sst>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7">
    <font>
      <sz val="11"/>
      <name val="ＭＳ Ｐゴシック"/>
      <family val="3"/>
      <charset val="128"/>
    </font>
    <font>
      <sz val="6"/>
      <name val="ＭＳ Ｐゴシック"/>
      <family val="3"/>
      <charset val="128"/>
    </font>
    <font>
      <b/>
      <sz val="11"/>
      <name val="ＭＳ Ｐゴシック"/>
      <family val="3"/>
      <charset val="128"/>
    </font>
    <font>
      <sz val="11"/>
      <name val="ＭＳ ゴシック"/>
      <family val="3"/>
      <charset val="128"/>
    </font>
    <font>
      <b/>
      <sz val="14"/>
      <name val="ＭＳ Ｐゴシック"/>
      <family val="3"/>
      <charset val="128"/>
    </font>
    <font>
      <sz val="8"/>
      <name val="ＭＳ Ｐゴシック"/>
      <family val="3"/>
      <charset val="128"/>
    </font>
    <font>
      <sz val="9"/>
      <color rgb="FF000000"/>
      <name val="MS UI Gothic"/>
      <family val="3"/>
      <charset val="128"/>
    </font>
  </fonts>
  <fills count="5">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4"/>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1">
    <xf numFmtId="0" fontId="0" fillId="0" borderId="0">
      <alignment vertical="center"/>
    </xf>
  </cellStyleXfs>
  <cellXfs count="37">
    <xf numFmtId="0" fontId="0" fillId="0" borderId="0" xfId="0">
      <alignmen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wrapText="1"/>
    </xf>
    <xf numFmtId="0" fontId="2" fillId="0" borderId="2" xfId="0" applyFont="1" applyBorder="1" applyAlignment="1">
      <alignment vertical="center"/>
    </xf>
    <xf numFmtId="0" fontId="0" fillId="0" borderId="3" xfId="0" applyBorder="1" applyAlignment="1">
      <alignment vertical="center" wrapText="1"/>
    </xf>
    <xf numFmtId="49" fontId="0" fillId="0" borderId="4" xfId="0" applyNumberFormat="1" applyBorder="1" applyAlignment="1">
      <alignment vertical="center"/>
    </xf>
    <xf numFmtId="49" fontId="0" fillId="0" borderId="1" xfId="0" applyNumberFormat="1" applyBorder="1" applyAlignment="1">
      <alignment vertical="center"/>
    </xf>
    <xf numFmtId="49" fontId="0" fillId="0" borderId="0" xfId="0" applyNumberFormat="1" applyAlignment="1">
      <alignment vertical="center"/>
    </xf>
    <xf numFmtId="0" fontId="0" fillId="0" borderId="5" xfId="0" applyBorder="1" applyAlignment="1">
      <alignment horizontal="center" vertical="center"/>
    </xf>
    <xf numFmtId="0" fontId="0" fillId="0" borderId="6" xfId="0" applyBorder="1" applyAlignment="1">
      <alignment horizontal="center" vertical="center"/>
    </xf>
    <xf numFmtId="49" fontId="0" fillId="0" borderId="3" xfId="0" applyNumberFormat="1" applyBorder="1" applyAlignment="1">
      <alignment vertical="center" wrapText="1"/>
    </xf>
    <xf numFmtId="49" fontId="0" fillId="0" borderId="1" xfId="0" applyNumberFormat="1" applyBorder="1" applyAlignment="1">
      <alignment vertical="center" wrapText="1"/>
    </xf>
    <xf numFmtId="0" fontId="0" fillId="2" borderId="1" xfId="0" applyFill="1" applyBorder="1" applyAlignment="1" applyProtection="1">
      <alignment horizontal="center" vertical="center"/>
      <protection locked="0" hidden="1"/>
    </xf>
    <xf numFmtId="0" fontId="0" fillId="3" borderId="1" xfId="0" applyFill="1" applyBorder="1" applyAlignment="1" applyProtection="1">
      <alignment horizontal="center" vertical="center"/>
      <protection locked="0" hidden="1"/>
    </xf>
    <xf numFmtId="0" fontId="5" fillId="0" borderId="2" xfId="0" applyFont="1" applyBorder="1" applyAlignment="1">
      <alignment horizontal="right" wrapText="1"/>
    </xf>
    <xf numFmtId="0" fontId="0" fillId="0" borderId="1" xfId="0" applyBorder="1" applyAlignment="1">
      <alignment horizontal="center" vertical="top" wrapText="1"/>
    </xf>
    <xf numFmtId="0" fontId="0" fillId="0" borderId="0" xfId="0" applyAlignment="1">
      <alignment vertical="top" wrapText="1"/>
    </xf>
    <xf numFmtId="0" fontId="0" fillId="0" borderId="3" xfId="0" applyBorder="1" applyAlignment="1" applyProtection="1">
      <alignment horizontal="center" vertical="center"/>
    </xf>
    <xf numFmtId="0" fontId="0" fillId="4" borderId="6" xfId="0" applyFill="1" applyBorder="1" applyAlignment="1">
      <alignment vertical="center"/>
    </xf>
    <xf numFmtId="0" fontId="0" fillId="4" borderId="7" xfId="0" applyFill="1" applyBorder="1" applyAlignment="1" applyProtection="1">
      <alignment vertical="center"/>
      <protection locked="0"/>
    </xf>
    <xf numFmtId="0" fontId="0" fillId="4" borderId="7" xfId="0" applyFill="1" applyBorder="1" applyAlignment="1">
      <alignment vertical="center"/>
    </xf>
    <xf numFmtId="0" fontId="0" fillId="0" borderId="0" xfId="0" applyAlignment="1">
      <alignment horizontal="right" vertical="center"/>
    </xf>
    <xf numFmtId="0" fontId="0" fillId="2" borderId="1" xfId="0" applyFill="1" applyBorder="1" applyAlignment="1" applyProtection="1">
      <alignment horizontal="center" vertical="center"/>
      <protection locked="0"/>
    </xf>
    <xf numFmtId="0" fontId="0" fillId="0" borderId="1" xfId="0" applyBorder="1" applyAlignment="1" applyProtection="1">
      <alignment horizontal="center" vertical="center" wrapText="1"/>
      <protection hidden="1"/>
    </xf>
    <xf numFmtId="0" fontId="0" fillId="2" borderId="1" xfId="0" applyFill="1" applyBorder="1" applyAlignment="1" applyProtection="1">
      <alignment vertical="top" wrapText="1"/>
      <protection locked="0"/>
    </xf>
    <xf numFmtId="0" fontId="0" fillId="2" borderId="3" xfId="0" applyFill="1" applyBorder="1" applyAlignment="1" applyProtection="1">
      <alignment vertical="top" wrapText="1"/>
      <protection locked="0"/>
    </xf>
    <xf numFmtId="0" fontId="0" fillId="2" borderId="4" xfId="0" applyFill="1" applyBorder="1" applyAlignment="1" applyProtection="1">
      <alignment vertical="top" wrapText="1"/>
      <protection locked="0"/>
    </xf>
    <xf numFmtId="0" fontId="0" fillId="0" borderId="8" xfId="0" applyBorder="1" applyAlignment="1" applyProtection="1">
      <alignment vertical="center"/>
      <protection locked="0"/>
    </xf>
    <xf numFmtId="0" fontId="0" fillId="0" borderId="8" xfId="0" applyBorder="1" applyAlignment="1">
      <alignment vertical="center" wrapText="1"/>
    </xf>
    <xf numFmtId="0" fontId="0" fillId="0" borderId="0" xfId="0" applyBorder="1" applyAlignment="1">
      <alignment horizontal="center" vertical="center"/>
    </xf>
    <xf numFmtId="0" fontId="0" fillId="4" borderId="5" xfId="0" applyFill="1" applyBorder="1" applyAlignment="1">
      <alignment vertical="center"/>
    </xf>
    <xf numFmtId="0" fontId="0" fillId="4" borderId="7" xfId="0" applyFill="1" applyBorder="1" applyAlignment="1">
      <alignment vertical="center"/>
    </xf>
    <xf numFmtId="0" fontId="4" fillId="0" borderId="2" xfId="0" applyFont="1" applyBorder="1" applyAlignment="1">
      <alignment vertical="center"/>
    </xf>
  </cellXfs>
  <cellStyles count="1">
    <cellStyle name="標準" xfId="0" builtinId="0"/>
  </cellStyles>
  <dxfs count="46">
    <dxf>
      <fill>
        <patternFill>
          <bgColor indexed="10"/>
        </patternFill>
      </fill>
    </dxf>
    <dxf>
      <fill>
        <patternFill>
          <bgColor indexed="10"/>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rgb="FFFF0000"/>
        </patternFill>
      </fill>
    </dxf>
    <dxf>
      <fill>
        <patternFill patternType="lightUp">
          <fgColor auto="1"/>
          <bgColor rgb="FF808080"/>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52"/>
        </patternFill>
      </fill>
    </dxf>
    <dxf>
      <font>
        <b/>
        <i val="0"/>
        <condense val="0"/>
        <extend val="0"/>
        <color indexed="26"/>
      </font>
      <fill>
        <patternFill>
          <bgColor indexed="48"/>
        </patternFill>
      </fill>
    </dxf>
    <dxf>
      <fill>
        <patternFill>
          <bgColor indexed="10"/>
        </patternFill>
      </fill>
    </dxf>
    <dxf>
      <fill>
        <patternFill>
          <bgColor indexed="10"/>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
      <fill>
        <patternFill>
          <bgColor indexed="10"/>
        </patternFill>
      </fill>
    </dxf>
    <dxf>
      <fill>
        <patternFill patternType="lightUp">
          <bgColor indexed="23"/>
        </patternFill>
      </fill>
    </dxf>
  </dxfs>
  <tableStyles count="0" defaultTableStyle="TableStyleMedium2" defaultPivotStyle="PivotStyleLight16"/>
  <colors>
    <mruColors>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fmlaLink="$E$3" lockText="1" noThreeD="1"/>
</file>

<file path=xl/ctrlProps/ctrlProp2.xml><?xml version="1.0" encoding="utf-8"?>
<formControlPr xmlns="http://schemas.microsoft.com/office/spreadsheetml/2009/9/main" objectType="CheckBox" checked="Checked" fmlaLink="$E$10" lockText="1" noThreeD="1"/>
</file>

<file path=xl/ctrlProps/ctrlProp3.xml><?xml version="1.0" encoding="utf-8"?>
<formControlPr xmlns="http://schemas.microsoft.com/office/spreadsheetml/2009/9/main" objectType="CheckBox" fmlaLink="$E$18" lockText="1" noThreeD="1"/>
</file>

<file path=xl/ctrlProps/ctrlProp4.xml><?xml version="1.0" encoding="utf-8"?>
<formControlPr xmlns="http://schemas.microsoft.com/office/spreadsheetml/2009/9/main" objectType="CheckBox" fmlaLink="$E$24" lockText="1" noThreeD="1"/>
</file>

<file path=xl/ctrlProps/ctrlProp5.xml><?xml version="1.0" encoding="utf-8"?>
<formControlPr xmlns="http://schemas.microsoft.com/office/spreadsheetml/2009/9/main" objectType="CheckBox" fmlaLink="$E$29" lockText="1" noThreeD="1"/>
</file>

<file path=xl/ctrlProps/ctrlProp6.xml><?xml version="1.0" encoding="utf-8"?>
<formControlPr xmlns="http://schemas.microsoft.com/office/spreadsheetml/2009/9/main" objectType="CheckBox" checked="Checked" fmlaLink="$E$38" lockText="1" noThreeD="1"/>
</file>

<file path=xl/ctrlProps/ctrlProp7.xml><?xml version="1.0" encoding="utf-8"?>
<formControlPr xmlns="http://schemas.microsoft.com/office/spreadsheetml/2009/9/main" objectType="CheckBox" fmlaLink="$E$49" lockText="1" noThreeD="1"/>
</file>

<file path=xl/ctrlProps/ctrlProp8.xml><?xml version="1.0" encoding="utf-8"?>
<formControlPr xmlns="http://schemas.microsoft.com/office/spreadsheetml/2009/9/main" objectType="CheckBox" fmlaLink="$E$56"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9" lockText="1" noThreeD="1"/>
</file>

<file path=xl/ctrlProps/ctrlProp11.xml><?xml version="1.0" encoding="utf-8"?>
<formControlPr xmlns="http://schemas.microsoft.com/office/spreadsheetml/2009/9/main" objectType="CheckBox" checked="Checked" fmlaLink="$E$82" lockText="1" noThreeD="1"/>
</file>

<file path=xl/ctrlProps/ctrlProp12.xml><?xml version="1.0" encoding="utf-8"?>
<formControlPr xmlns="http://schemas.microsoft.com/office/spreadsheetml/2009/9/main" objectType="CheckBox" fmlaLink="$E$85" lockText="1" noThreeD="1"/>
</file>

<file path=xl/ctrlProps/ctrlProp13.xml><?xml version="1.0" encoding="utf-8"?>
<formControlPr xmlns="http://schemas.microsoft.com/office/spreadsheetml/2009/9/main" objectType="CheckBox" fmlaLink="$E$75" lockText="1" noThreeD="1"/>
</file>

<file path=xl/ctrlProps/ctrlProp14.xml><?xml version="1.0" encoding="utf-8"?>
<formControlPr xmlns="http://schemas.microsoft.com/office/spreadsheetml/2009/9/main" objectType="CheckBox" fmlaLink="$E$80" lockText="1" noThreeD="1"/>
</file>

<file path=xl/ctrlProps/ctrlProp15.xml><?xml version="1.0" encoding="utf-8"?>
<formControlPr xmlns="http://schemas.microsoft.com/office/spreadsheetml/2009/9/main" objectType="CheckBox" checked="Checked" fmlaLink="$E$9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685800</xdr:colOff>
          <xdr:row>2</xdr:row>
          <xdr:rowOff>0</xdr:rowOff>
        </xdr:from>
        <xdr:to>
          <xdr:col>2</xdr:col>
          <xdr:colOff>2152650</xdr:colOff>
          <xdr:row>3</xdr:row>
          <xdr:rowOff>38100</xdr:rowOff>
        </xdr:to>
        <xdr:sp macro="" textlink="">
          <xdr:nvSpPr>
            <xdr:cNvPr id="1037" name="Check Box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2400300</xdr:colOff>
          <xdr:row>9</xdr:row>
          <xdr:rowOff>0</xdr:rowOff>
        </xdr:from>
        <xdr:to>
          <xdr:col>2</xdr:col>
          <xdr:colOff>3867150</xdr:colOff>
          <xdr:row>10</xdr:row>
          <xdr:rowOff>38100</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1685925</xdr:colOff>
          <xdr:row>17</xdr:row>
          <xdr:rowOff>0</xdr:rowOff>
        </xdr:from>
        <xdr:to>
          <xdr:col>2</xdr:col>
          <xdr:colOff>3152775</xdr:colOff>
          <xdr:row>18</xdr:row>
          <xdr:rowOff>38100</xdr:rowOff>
        </xdr:to>
        <xdr:sp macro="" textlink="">
          <xdr:nvSpPr>
            <xdr:cNvPr id="1041" name="Check Box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2124075</xdr:colOff>
          <xdr:row>23</xdr:row>
          <xdr:rowOff>0</xdr:rowOff>
        </xdr:from>
        <xdr:to>
          <xdr:col>2</xdr:col>
          <xdr:colOff>3590925</xdr:colOff>
          <xdr:row>24</xdr:row>
          <xdr:rowOff>38100</xdr:rowOff>
        </xdr:to>
        <xdr:sp macro="" textlink="">
          <xdr:nvSpPr>
            <xdr:cNvPr id="1042" name="Check Box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2495550</xdr:colOff>
          <xdr:row>28</xdr:row>
          <xdr:rowOff>0</xdr:rowOff>
        </xdr:from>
        <xdr:to>
          <xdr:col>2</xdr:col>
          <xdr:colOff>3962400</xdr:colOff>
          <xdr:row>29</xdr:row>
          <xdr:rowOff>38100</xdr:rowOff>
        </xdr:to>
        <xdr:sp macro="" textlink="">
          <xdr:nvSpPr>
            <xdr:cNvPr id="1043" name="Check Box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2114550</xdr:colOff>
          <xdr:row>37</xdr:row>
          <xdr:rowOff>0</xdr:rowOff>
        </xdr:from>
        <xdr:to>
          <xdr:col>2</xdr:col>
          <xdr:colOff>3581400</xdr:colOff>
          <xdr:row>38</xdr:row>
          <xdr:rowOff>38100</xdr:rowOff>
        </xdr:to>
        <xdr:sp macro="" textlink="">
          <xdr:nvSpPr>
            <xdr:cNvPr id="1044" name="Check Box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1857375</xdr:colOff>
          <xdr:row>48</xdr:row>
          <xdr:rowOff>0</xdr:rowOff>
        </xdr:from>
        <xdr:to>
          <xdr:col>2</xdr:col>
          <xdr:colOff>3324225</xdr:colOff>
          <xdr:row>49</xdr:row>
          <xdr:rowOff>38100</xdr:rowOff>
        </xdr:to>
        <xdr:sp macro="" textlink="">
          <xdr:nvSpPr>
            <xdr:cNvPr id="1045" name="Check Box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2000250</xdr:colOff>
          <xdr:row>55</xdr:row>
          <xdr:rowOff>0</xdr:rowOff>
        </xdr:from>
        <xdr:to>
          <xdr:col>2</xdr:col>
          <xdr:colOff>3467100</xdr:colOff>
          <xdr:row>56</xdr:row>
          <xdr:rowOff>38100</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2562225</xdr:colOff>
          <xdr:row>62</xdr:row>
          <xdr:rowOff>0</xdr:rowOff>
        </xdr:from>
        <xdr:to>
          <xdr:col>2</xdr:col>
          <xdr:colOff>4029075</xdr:colOff>
          <xdr:row>63</xdr:row>
          <xdr:rowOff>38100</xdr:rowOff>
        </xdr:to>
        <xdr:sp macro="" textlink="">
          <xdr:nvSpPr>
            <xdr:cNvPr id="1047" name="Check Box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1514475</xdr:colOff>
          <xdr:row>68</xdr:row>
          <xdr:rowOff>0</xdr:rowOff>
        </xdr:from>
        <xdr:to>
          <xdr:col>2</xdr:col>
          <xdr:colOff>2981325</xdr:colOff>
          <xdr:row>69</xdr:row>
          <xdr:rowOff>38100</xdr:rowOff>
        </xdr:to>
        <xdr:sp macro="" textlink="">
          <xdr:nvSpPr>
            <xdr:cNvPr id="1049" name="Check Box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80</xdr:row>
          <xdr:rowOff>161925</xdr:rowOff>
        </xdr:from>
        <xdr:to>
          <xdr:col>2</xdr:col>
          <xdr:colOff>3267075</xdr:colOff>
          <xdr:row>82</xdr:row>
          <xdr:rowOff>38100</xdr:rowOff>
        </xdr:to>
        <xdr:sp macro="" textlink="">
          <xdr:nvSpPr>
            <xdr:cNvPr id="1050" name="Check Box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84</xdr:row>
          <xdr:rowOff>0</xdr:rowOff>
        </xdr:from>
        <xdr:to>
          <xdr:col>2</xdr:col>
          <xdr:colOff>3267075</xdr:colOff>
          <xdr:row>85</xdr:row>
          <xdr:rowOff>38100</xdr:rowOff>
        </xdr:to>
        <xdr:sp macro="" textlink="">
          <xdr:nvSpPr>
            <xdr:cNvPr id="1051" name="Check Box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2085975</xdr:colOff>
          <xdr:row>74</xdr:row>
          <xdr:rowOff>0</xdr:rowOff>
        </xdr:from>
        <xdr:to>
          <xdr:col>2</xdr:col>
          <xdr:colOff>3552825</xdr:colOff>
          <xdr:row>75</xdr:row>
          <xdr:rowOff>38100</xdr:rowOff>
        </xdr:to>
        <xdr:sp macro="" textlink="">
          <xdr:nvSpPr>
            <xdr:cNvPr id="1053" name="Check Box 29" hidden="1">
              <a:extLst>
                <a:ext uri="{63B3BB69-23CF-44E3-9099-C40C66FF867C}">
                  <a14:compatExt spid="_x0000_s10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79</xdr:row>
          <xdr:rowOff>0</xdr:rowOff>
        </xdr:from>
        <xdr:to>
          <xdr:col>2</xdr:col>
          <xdr:colOff>3267075</xdr:colOff>
          <xdr:row>80</xdr:row>
          <xdr:rowOff>38100</xdr:rowOff>
        </xdr:to>
        <xdr:sp macro="" textlink="">
          <xdr:nvSpPr>
            <xdr:cNvPr id="1055" name="Check Box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2333625</xdr:colOff>
          <xdr:row>90</xdr:row>
          <xdr:rowOff>0</xdr:rowOff>
        </xdr:from>
        <xdr:to>
          <xdr:col>2</xdr:col>
          <xdr:colOff>3800475</xdr:colOff>
          <xdr:row>91</xdr:row>
          <xdr:rowOff>38100</xdr:rowOff>
        </xdr:to>
        <xdr:sp macro="" textlink="">
          <xdr:nvSpPr>
            <xdr:cNvPr id="1057" name="Check Box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このAPIを使用している</a:t>
              </a:r>
            </a:p>
          </xdr:txBody>
        </xdr:sp>
        <xdr:clientData fLock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109"/>
  <sheetViews>
    <sheetView tabSelected="1" zoomScaleNormal="100" zoomScaleSheetLayoutView="85" workbookViewId="0">
      <pane ySplit="2" topLeftCell="A3" activePane="bottomLeft" state="frozen"/>
      <selection pane="bottomLeft" activeCell="F106" sqref="F106"/>
    </sheetView>
  </sheetViews>
  <sheetFormatPr defaultRowHeight="13.5"/>
  <cols>
    <col min="1" max="1" width="6" style="11" bestFit="1" customWidth="1"/>
    <col min="2" max="2" width="5.5" style="1" customWidth="1"/>
    <col min="3" max="3" width="58.125" style="3" customWidth="1"/>
    <col min="4" max="4" width="5" style="1" customWidth="1"/>
    <col min="5" max="5" width="6" style="1" hidden="1" customWidth="1"/>
    <col min="6" max="6" width="33.625" style="20" customWidth="1"/>
    <col min="7" max="7" width="8.25" customWidth="1"/>
  </cols>
  <sheetData>
    <row r="1" spans="1:6" ht="17.25">
      <c r="A1" s="36" t="s">
        <v>61</v>
      </c>
      <c r="B1" s="36"/>
      <c r="C1" s="36"/>
      <c r="D1" s="7"/>
      <c r="E1" s="7"/>
      <c r="F1" s="18" t="s">
        <v>162</v>
      </c>
    </row>
    <row r="2" spans="1:6">
      <c r="A2" s="10" t="s">
        <v>1</v>
      </c>
      <c r="B2" s="4" t="s">
        <v>2</v>
      </c>
      <c r="C2" s="5" t="s">
        <v>3</v>
      </c>
      <c r="D2" s="12" t="s">
        <v>0</v>
      </c>
      <c r="E2" s="13"/>
      <c r="F2" s="19" t="s">
        <v>10</v>
      </c>
    </row>
    <row r="3" spans="1:6">
      <c r="A3" s="34" t="s">
        <v>23</v>
      </c>
      <c r="B3" s="35"/>
      <c r="C3" s="35"/>
      <c r="D3" s="35"/>
      <c r="E3" s="23" t="b">
        <v>0</v>
      </c>
      <c r="F3" s="22"/>
    </row>
    <row r="4" spans="1:6">
      <c r="A4" s="10" t="s">
        <v>4</v>
      </c>
      <c r="B4" s="4" t="s">
        <v>5</v>
      </c>
      <c r="C4" s="6" t="s">
        <v>11</v>
      </c>
      <c r="D4" s="16"/>
      <c r="E4" s="17">
        <f t="shared" ref="E4:E9" si="0">IF($E$3, IF(AND($B4="●", $D4="×"), IF(F4="",-1,-2), IF($D4="",0,1)), 1)</f>
        <v>1</v>
      </c>
      <c r="F4" s="28"/>
    </row>
    <row r="5" spans="1:6">
      <c r="A5" s="10" t="s">
        <v>45</v>
      </c>
      <c r="B5" s="4" t="str">
        <f>IF($D$5="×", "", "●")</f>
        <v>●</v>
      </c>
      <c r="C5" s="6" t="s">
        <v>160</v>
      </c>
      <c r="D5" s="16"/>
      <c r="E5" s="17">
        <f t="shared" si="0"/>
        <v>1</v>
      </c>
      <c r="F5" s="28"/>
    </row>
    <row r="6" spans="1:6">
      <c r="A6" s="10" t="s">
        <v>144</v>
      </c>
      <c r="B6" s="4" t="s">
        <v>5</v>
      </c>
      <c r="C6" s="6" t="s">
        <v>8</v>
      </c>
      <c r="D6" s="16"/>
      <c r="E6" s="17">
        <f t="shared" si="0"/>
        <v>1</v>
      </c>
      <c r="F6" s="28"/>
    </row>
    <row r="7" spans="1:6" ht="54">
      <c r="A7" s="10" t="s">
        <v>145</v>
      </c>
      <c r="B7" s="4"/>
      <c r="C7" s="6" t="s">
        <v>24</v>
      </c>
      <c r="D7" s="16"/>
      <c r="E7" s="17">
        <f t="shared" si="0"/>
        <v>1</v>
      </c>
      <c r="F7" s="28"/>
    </row>
    <row r="8" spans="1:6" ht="27">
      <c r="A8" s="10" t="s">
        <v>146</v>
      </c>
      <c r="B8" s="4" t="s">
        <v>5</v>
      </c>
      <c r="C8" s="6" t="s">
        <v>7</v>
      </c>
      <c r="D8" s="16"/>
      <c r="E8" s="17">
        <f t="shared" si="0"/>
        <v>1</v>
      </c>
      <c r="F8" s="28"/>
    </row>
    <row r="9" spans="1:6">
      <c r="A9" s="10" t="s">
        <v>147</v>
      </c>
      <c r="B9" s="4"/>
      <c r="C9" s="6" t="s">
        <v>53</v>
      </c>
      <c r="D9" s="16"/>
      <c r="E9" s="17">
        <f t="shared" si="0"/>
        <v>1</v>
      </c>
      <c r="F9" s="28"/>
    </row>
    <row r="10" spans="1:6">
      <c r="A10" s="34" t="s">
        <v>75</v>
      </c>
      <c r="B10" s="35"/>
      <c r="C10" s="35"/>
      <c r="D10" s="35"/>
      <c r="E10" s="23" t="b">
        <v>1</v>
      </c>
      <c r="F10" s="22"/>
    </row>
    <row r="11" spans="1:6">
      <c r="A11" s="10" t="s">
        <v>76</v>
      </c>
      <c r="B11" s="4" t="s">
        <v>5</v>
      </c>
      <c r="C11" s="6" t="s">
        <v>11</v>
      </c>
      <c r="D11" s="16" t="s">
        <v>164</v>
      </c>
      <c r="E11" s="17">
        <f>IF($E$10, IF(AND($B11="●", $D11="×"), IF(F11="",-1,-2), IF($D11="",0,1)), 1)</f>
        <v>1</v>
      </c>
      <c r="F11" s="28"/>
    </row>
    <row r="12" spans="1:6">
      <c r="A12" s="10" t="s">
        <v>77</v>
      </c>
      <c r="B12" s="4" t="str">
        <f>IF($D$12="×", "", "●")</f>
        <v>●</v>
      </c>
      <c r="C12" s="6" t="s">
        <v>160</v>
      </c>
      <c r="D12" s="16" t="s">
        <v>164</v>
      </c>
      <c r="E12" s="17">
        <f t="shared" ref="E12:E17" si="1">IF($E$10, IF(AND($B12="●", $D12="×"), IF(F12="",-1,-2), IF($D12="",0,1)), 1)</f>
        <v>1</v>
      </c>
      <c r="F12" s="28"/>
    </row>
    <row r="13" spans="1:6">
      <c r="A13" s="10" t="s">
        <v>148</v>
      </c>
      <c r="B13" s="4" t="s">
        <v>6</v>
      </c>
      <c r="C13" s="6" t="s">
        <v>8</v>
      </c>
      <c r="D13" s="16" t="s">
        <v>164</v>
      </c>
      <c r="E13" s="17">
        <f t="shared" si="1"/>
        <v>1</v>
      </c>
      <c r="F13" s="28"/>
    </row>
    <row r="14" spans="1:6" ht="27">
      <c r="A14" s="10" t="s">
        <v>149</v>
      </c>
      <c r="B14" s="4" t="s">
        <v>6</v>
      </c>
      <c r="C14" s="6" t="s">
        <v>54</v>
      </c>
      <c r="D14" s="16" t="s">
        <v>164</v>
      </c>
      <c r="E14" s="17">
        <f t="shared" si="1"/>
        <v>1</v>
      </c>
      <c r="F14" s="28"/>
    </row>
    <row r="15" spans="1:6" ht="54">
      <c r="A15" s="10" t="s">
        <v>150</v>
      </c>
      <c r="B15" s="4"/>
      <c r="C15" s="6" t="s">
        <v>24</v>
      </c>
      <c r="D15" s="16" t="s">
        <v>164</v>
      </c>
      <c r="E15" s="17">
        <f t="shared" si="1"/>
        <v>1</v>
      </c>
      <c r="F15" s="28"/>
    </row>
    <row r="16" spans="1:6" ht="27">
      <c r="A16" s="10" t="s">
        <v>151</v>
      </c>
      <c r="B16" s="4" t="s">
        <v>6</v>
      </c>
      <c r="C16" s="6" t="s">
        <v>7</v>
      </c>
      <c r="D16" s="16" t="s">
        <v>164</v>
      </c>
      <c r="E16" s="17">
        <f t="shared" si="1"/>
        <v>1</v>
      </c>
      <c r="F16" s="28"/>
    </row>
    <row r="17" spans="1:6">
      <c r="A17" s="10" t="s">
        <v>152</v>
      </c>
      <c r="B17" s="4"/>
      <c r="C17" s="6" t="s">
        <v>52</v>
      </c>
      <c r="D17" s="16" t="s">
        <v>165</v>
      </c>
      <c r="E17" s="17">
        <f t="shared" si="1"/>
        <v>1</v>
      </c>
      <c r="F17" s="28"/>
    </row>
    <row r="18" spans="1:6">
      <c r="A18" s="34" t="s">
        <v>78</v>
      </c>
      <c r="B18" s="35"/>
      <c r="C18" s="35"/>
      <c r="D18" s="35"/>
      <c r="E18" s="23" t="b">
        <v>0</v>
      </c>
      <c r="F18" s="22"/>
    </row>
    <row r="19" spans="1:6">
      <c r="A19" s="10" t="s">
        <v>79</v>
      </c>
      <c r="B19" s="4" t="str">
        <f>IF($D$19="×","","●")</f>
        <v>●</v>
      </c>
      <c r="C19" s="6" t="s">
        <v>160</v>
      </c>
      <c r="D19" s="16"/>
      <c r="E19" s="17">
        <f>IF($E$18, IF(AND($B19="●", $D19="×"), IF(F19="",-1,-2), IF($D19="",0,1)), 1)</f>
        <v>1</v>
      </c>
      <c r="F19" s="28"/>
    </row>
    <row r="20" spans="1:6">
      <c r="A20" s="10" t="s">
        <v>153</v>
      </c>
      <c r="B20" s="4" t="s">
        <v>5</v>
      </c>
      <c r="C20" s="6" t="s">
        <v>9</v>
      </c>
      <c r="D20" s="16"/>
      <c r="E20" s="17">
        <f>IF($E$18, IF(AND($B20="●", $D20="×"), IF(F20="",-1,-2), IF($D20="",0,1)), 1)</f>
        <v>1</v>
      </c>
      <c r="F20" s="28"/>
    </row>
    <row r="21" spans="1:6" ht="54">
      <c r="A21" s="10" t="s">
        <v>154</v>
      </c>
      <c r="B21" s="4"/>
      <c r="C21" s="6" t="s">
        <v>24</v>
      </c>
      <c r="D21" s="16"/>
      <c r="E21" s="17">
        <f>IF($E$18, IF(AND($B21="●", $D21="×"), IF(F21="",-1,-2), IF($D21="",0,1)), 1)</f>
        <v>1</v>
      </c>
      <c r="F21" s="28"/>
    </row>
    <row r="22" spans="1:6" ht="27">
      <c r="A22" s="10" t="s">
        <v>155</v>
      </c>
      <c r="B22" s="4" t="s">
        <v>5</v>
      </c>
      <c r="C22" s="6" t="s">
        <v>7</v>
      </c>
      <c r="D22" s="16"/>
      <c r="E22" s="17">
        <f>IF($E$18, IF(AND($B22="●", $D22="×"), IF(F22="",-1,-2), IF($D22="",0,1)), 1)</f>
        <v>1</v>
      </c>
      <c r="F22" s="28"/>
    </row>
    <row r="23" spans="1:6" ht="27">
      <c r="A23" s="10" t="s">
        <v>156</v>
      </c>
      <c r="B23" s="4" t="str">
        <f>IF($E$3,"●","")</f>
        <v/>
      </c>
      <c r="C23" s="6" t="s">
        <v>73</v>
      </c>
      <c r="D23" s="16"/>
      <c r="E23" s="17">
        <f>IF(AND($E$3,$E$18), IF(AND($B23="●", $D23="×"), IF(F23="",-1,-2), IF($D23="",0,1)), 1)</f>
        <v>1</v>
      </c>
      <c r="F23" s="28"/>
    </row>
    <row r="24" spans="1:6">
      <c r="A24" s="34" t="s">
        <v>80</v>
      </c>
      <c r="B24" s="35"/>
      <c r="C24" s="35"/>
      <c r="D24" s="35"/>
      <c r="E24" s="23" t="b">
        <v>0</v>
      </c>
      <c r="F24" s="22"/>
    </row>
    <row r="25" spans="1:6">
      <c r="A25" s="10" t="s">
        <v>81</v>
      </c>
      <c r="B25" s="4" t="s">
        <v>5</v>
      </c>
      <c r="C25" s="6" t="s">
        <v>9</v>
      </c>
      <c r="D25" s="16"/>
      <c r="E25" s="17">
        <f>IF($E$24, IF(AND($B25="●", $D25="×"), IF(F25="",-1,-2), IF($D25="",0,1)), 1)</f>
        <v>1</v>
      </c>
      <c r="F25" s="28"/>
    </row>
    <row r="26" spans="1:6" ht="54">
      <c r="A26" s="10" t="s">
        <v>82</v>
      </c>
      <c r="B26" s="4"/>
      <c r="C26" s="6" t="s">
        <v>24</v>
      </c>
      <c r="D26" s="16"/>
      <c r="E26" s="17">
        <f>IF($E$24, IF(AND($B26="●", $D26="×"), IF(F26="",-1,-2), IF($D26="",0,1)), 1)</f>
        <v>1</v>
      </c>
      <c r="F26" s="28"/>
    </row>
    <row r="27" spans="1:6" ht="27">
      <c r="A27" s="10" t="s">
        <v>83</v>
      </c>
      <c r="B27" s="4"/>
      <c r="C27" s="6" t="s">
        <v>32</v>
      </c>
      <c r="D27" s="16"/>
      <c r="E27" s="17">
        <f>IF($E$24, IF(AND($B27="●", $D27="×"), IF(F27="",-1,-2), IF($D27="",0,1)), 1)</f>
        <v>1</v>
      </c>
      <c r="F27" s="28"/>
    </row>
    <row r="28" spans="1:6" ht="27">
      <c r="A28" s="10" t="s">
        <v>84</v>
      </c>
      <c r="B28" s="4" t="s">
        <v>5</v>
      </c>
      <c r="C28" s="6" t="s">
        <v>7</v>
      </c>
      <c r="D28" s="16"/>
      <c r="E28" s="17">
        <f>IF($E$24, IF(AND($B28="●", $D28="×"), IF(F28="",-1,-2), IF($D28="",0,1)), 1)</f>
        <v>1</v>
      </c>
      <c r="F28" s="28"/>
    </row>
    <row r="29" spans="1:6">
      <c r="A29" s="34" t="s">
        <v>85</v>
      </c>
      <c r="B29" s="35"/>
      <c r="C29" s="35"/>
      <c r="D29" s="35"/>
      <c r="E29" s="23" t="b">
        <v>0</v>
      </c>
      <c r="F29" s="22"/>
    </row>
    <row r="30" spans="1:6" ht="94.5">
      <c r="A30" s="10" t="s">
        <v>86</v>
      </c>
      <c r="B30" s="4" t="s">
        <v>5</v>
      </c>
      <c r="C30" s="6" t="s">
        <v>66</v>
      </c>
      <c r="D30" s="16"/>
      <c r="E30" s="17">
        <f t="shared" ref="E30:E36" si="2">IF($E$29, IF(AND($B30="●", $D30="×"), IF(F30="",-1,-2), IF($D30="",0,1)), 1)</f>
        <v>1</v>
      </c>
      <c r="F30" s="28"/>
    </row>
    <row r="31" spans="1:6" ht="54">
      <c r="A31" s="10" t="s">
        <v>87</v>
      </c>
      <c r="B31" s="4"/>
      <c r="C31" s="6" t="s">
        <v>24</v>
      </c>
      <c r="D31" s="16"/>
      <c r="E31" s="17">
        <f t="shared" si="2"/>
        <v>1</v>
      </c>
      <c r="F31" s="28"/>
    </row>
    <row r="32" spans="1:6" ht="27">
      <c r="A32" s="10" t="s">
        <v>88</v>
      </c>
      <c r="B32" s="4"/>
      <c r="C32" s="6" t="s">
        <v>32</v>
      </c>
      <c r="D32" s="16"/>
      <c r="E32" s="17">
        <f t="shared" si="2"/>
        <v>1</v>
      </c>
      <c r="F32" s="28"/>
    </row>
    <row r="33" spans="1:6" ht="81">
      <c r="A33" s="10" t="s">
        <v>89</v>
      </c>
      <c r="B33" s="4" t="str">
        <f>IF($E$10, "●","")</f>
        <v>●</v>
      </c>
      <c r="C33" s="6" t="s">
        <v>67</v>
      </c>
      <c r="D33" s="16"/>
      <c r="E33" s="17">
        <f t="shared" si="2"/>
        <v>1</v>
      </c>
      <c r="F33" s="28"/>
    </row>
    <row r="34" spans="1:6" ht="27">
      <c r="A34" s="10" t="s">
        <v>90</v>
      </c>
      <c r="B34" s="4" t="s">
        <v>5</v>
      </c>
      <c r="C34" s="6" t="s">
        <v>7</v>
      </c>
      <c r="D34" s="16"/>
      <c r="E34" s="17">
        <f t="shared" si="2"/>
        <v>1</v>
      </c>
      <c r="F34" s="28"/>
    </row>
    <row r="35" spans="1:6" ht="54">
      <c r="A35" s="10" t="s">
        <v>91</v>
      </c>
      <c r="B35" s="4"/>
      <c r="C35" s="6" t="s">
        <v>41</v>
      </c>
      <c r="D35" s="16"/>
      <c r="E35" s="17">
        <f t="shared" ref="E35" si="3">IF($E$29, IF(AND($B35="●", $D35="×"), IF(F35="",-1,-2), IF($D35="",0,1)), 1)</f>
        <v>1</v>
      </c>
      <c r="F35" s="28"/>
    </row>
    <row r="36" spans="1:6" ht="27">
      <c r="A36" s="10" t="s">
        <v>92</v>
      </c>
      <c r="B36" s="4" t="s">
        <v>5</v>
      </c>
      <c r="C36" s="6" t="s">
        <v>69</v>
      </c>
      <c r="D36" s="16"/>
      <c r="E36" s="17">
        <f t="shared" si="2"/>
        <v>1</v>
      </c>
      <c r="F36" s="28"/>
    </row>
    <row r="37" spans="1:6" ht="40.5">
      <c r="A37" s="10" t="s">
        <v>93</v>
      </c>
      <c r="B37" s="4" t="str">
        <f>IF($E$10, "●","")</f>
        <v>●</v>
      </c>
      <c r="C37" s="6" t="s">
        <v>74</v>
      </c>
      <c r="D37" s="16"/>
      <c r="E37" s="17">
        <f>IF(AND($E$10, $E$29), IF(AND($B37="●", $D37="×"), IF(F37="",-1,-2), IF($D37="",0,1)), 1)</f>
        <v>1</v>
      </c>
      <c r="F37" s="28"/>
    </row>
    <row r="38" spans="1:6">
      <c r="A38" s="34" t="s">
        <v>94</v>
      </c>
      <c r="B38" s="35"/>
      <c r="C38" s="35"/>
      <c r="D38" s="35"/>
      <c r="E38" s="23" t="b">
        <v>1</v>
      </c>
      <c r="F38" s="22"/>
    </row>
    <row r="39" spans="1:6" ht="94.5">
      <c r="A39" s="10" t="s">
        <v>95</v>
      </c>
      <c r="B39" s="4" t="s">
        <v>5</v>
      </c>
      <c r="C39" s="6" t="s">
        <v>65</v>
      </c>
      <c r="D39" s="16" t="s">
        <v>164</v>
      </c>
      <c r="E39" s="17">
        <f>IF($E$38, IF(AND($B39="●", $D39="×"), IF(F39="",-1,-2), IF($D39="",0,1)), 1)</f>
        <v>1</v>
      </c>
      <c r="F39" s="28"/>
    </row>
    <row r="40" spans="1:6" ht="40.5">
      <c r="A40" s="10" t="s">
        <v>96</v>
      </c>
      <c r="B40" s="4" t="s">
        <v>5</v>
      </c>
      <c r="C40" s="6" t="s">
        <v>62</v>
      </c>
      <c r="D40" s="16" t="s">
        <v>164</v>
      </c>
      <c r="E40" s="17">
        <f t="shared" ref="E40:E44" si="4">IF($E$38, IF(AND($B40="●", $D40="×"), IF(F40="",-1,-2), IF($D40="",0,1)), 1)</f>
        <v>1</v>
      </c>
      <c r="F40" s="28"/>
    </row>
    <row r="41" spans="1:6" ht="54">
      <c r="A41" s="10" t="s">
        <v>132</v>
      </c>
      <c r="B41" s="4"/>
      <c r="C41" s="6" t="s">
        <v>139</v>
      </c>
      <c r="D41" s="16" t="s">
        <v>165</v>
      </c>
      <c r="E41" s="17">
        <f t="shared" ref="E41" si="5">IF($E$38, IF(AND($B41="●", $D41="×"), IF(F41="",-1,-2), IF($D41="",0,1)), 1)</f>
        <v>1</v>
      </c>
      <c r="F41" s="28"/>
    </row>
    <row r="42" spans="1:6" ht="54">
      <c r="A42" s="10" t="s">
        <v>133</v>
      </c>
      <c r="B42" s="4"/>
      <c r="C42" s="6" t="s">
        <v>24</v>
      </c>
      <c r="D42" s="16" t="s">
        <v>164</v>
      </c>
      <c r="E42" s="17">
        <f t="shared" si="4"/>
        <v>1</v>
      </c>
      <c r="F42" s="28"/>
    </row>
    <row r="43" spans="1:6" ht="27">
      <c r="A43" s="10" t="s">
        <v>134</v>
      </c>
      <c r="B43" s="4"/>
      <c r="C43" s="6" t="s">
        <v>32</v>
      </c>
      <c r="D43" s="16" t="s">
        <v>165</v>
      </c>
      <c r="E43" s="17">
        <f>IF($E$38, IF(AND($B43="●", $D43="×"), IF(F43="",-1,-2), IF($D43="",0,1)), 1)</f>
        <v>1</v>
      </c>
      <c r="F43" s="28"/>
    </row>
    <row r="44" spans="1:6" ht="81">
      <c r="A44" s="10" t="s">
        <v>135</v>
      </c>
      <c r="B44" s="4" t="s">
        <v>64</v>
      </c>
      <c r="C44" s="6" t="s">
        <v>68</v>
      </c>
      <c r="D44" s="16" t="s">
        <v>165</v>
      </c>
      <c r="E44" s="17">
        <f t="shared" si="4"/>
        <v>-2</v>
      </c>
      <c r="F44" s="28" t="s">
        <v>166</v>
      </c>
    </row>
    <row r="45" spans="1:6" ht="27">
      <c r="A45" s="10" t="s">
        <v>136</v>
      </c>
      <c r="B45" s="4" t="s">
        <v>5</v>
      </c>
      <c r="C45" s="6" t="s">
        <v>7</v>
      </c>
      <c r="D45" s="16" t="s">
        <v>164</v>
      </c>
      <c r="E45" s="17">
        <f>IF($E$38, IF(AND($B45="●", $D45="×"), IF(F45="",-1,-2), IF($D45="",0,1)), 1)</f>
        <v>1</v>
      </c>
      <c r="F45" s="28"/>
    </row>
    <row r="46" spans="1:6" ht="54">
      <c r="A46" s="10" t="s">
        <v>137</v>
      </c>
      <c r="B46" s="4"/>
      <c r="C46" s="6" t="s">
        <v>42</v>
      </c>
      <c r="D46" s="16" t="s">
        <v>164</v>
      </c>
      <c r="E46" s="17">
        <f>IF($E$38, IF(AND($B46="●", $D46="×"), IF(F46="",-1,-2), IF($D46="",0,1)), 1)</f>
        <v>1</v>
      </c>
      <c r="F46" s="28"/>
    </row>
    <row r="47" spans="1:6" ht="27">
      <c r="A47" s="10" t="s">
        <v>140</v>
      </c>
      <c r="B47" s="4" t="s">
        <v>141</v>
      </c>
      <c r="C47" s="6" t="s">
        <v>142</v>
      </c>
      <c r="D47" s="16" t="s">
        <v>164</v>
      </c>
      <c r="E47" s="17">
        <f>IF($E$38, IF(AND($B47="●", $D47="×"), IF(F47="",-1,-2), IF($D47="",0,1)), 1)</f>
        <v>1</v>
      </c>
      <c r="F47" s="28"/>
    </row>
    <row r="48" spans="1:6" ht="40.5">
      <c r="A48" s="10" t="s">
        <v>138</v>
      </c>
      <c r="B48" s="4" t="str">
        <f>IF($E$10, "●","")</f>
        <v>●</v>
      </c>
      <c r="C48" s="6" t="s">
        <v>74</v>
      </c>
      <c r="D48" s="16" t="s">
        <v>164</v>
      </c>
      <c r="E48" s="17">
        <f>IF($E$10, IF(AND($B48="●", $D48="×"), IF(F48="",-1,-2), IF($D48="",0,1)), 1)</f>
        <v>1</v>
      </c>
      <c r="F48" s="28"/>
    </row>
    <row r="49" spans="1:6">
      <c r="A49" s="34" t="s">
        <v>97</v>
      </c>
      <c r="B49" s="35"/>
      <c r="C49" s="35"/>
      <c r="D49" s="35"/>
      <c r="E49" s="23" t="b">
        <v>0</v>
      </c>
      <c r="F49" s="22"/>
    </row>
    <row r="50" spans="1:6">
      <c r="A50" s="10" t="s">
        <v>98</v>
      </c>
      <c r="B50" s="4" t="s">
        <v>5</v>
      </c>
      <c r="C50" s="6" t="s">
        <v>9</v>
      </c>
      <c r="D50" s="16"/>
      <c r="E50" s="17">
        <f t="shared" ref="E50:E55" si="6">IF($E$49, IF(AND($B50="●", $D50="×"), IF(F50="",-1,-2), IF($D50="",0,1)), 1)</f>
        <v>1</v>
      </c>
      <c r="F50" s="28"/>
    </row>
    <row r="51" spans="1:6" ht="54">
      <c r="A51" s="10" t="s">
        <v>99</v>
      </c>
      <c r="B51" s="4"/>
      <c r="C51" s="6" t="s">
        <v>24</v>
      </c>
      <c r="D51" s="16"/>
      <c r="E51" s="17">
        <f t="shared" si="6"/>
        <v>1</v>
      </c>
      <c r="F51" s="28"/>
    </row>
    <row r="52" spans="1:6" ht="27">
      <c r="A52" s="10" t="s">
        <v>12</v>
      </c>
      <c r="B52" s="4"/>
      <c r="C52" s="6" t="s">
        <v>32</v>
      </c>
      <c r="D52" s="16"/>
      <c r="E52" s="17">
        <f t="shared" si="6"/>
        <v>1</v>
      </c>
      <c r="F52" s="28"/>
    </row>
    <row r="53" spans="1:6" ht="27">
      <c r="A53" s="10" t="s">
        <v>13</v>
      </c>
      <c r="B53" s="4" t="s">
        <v>5</v>
      </c>
      <c r="C53" s="6" t="s">
        <v>7</v>
      </c>
      <c r="D53" s="16"/>
      <c r="E53" s="17">
        <f t="shared" si="6"/>
        <v>1</v>
      </c>
      <c r="F53" s="28"/>
    </row>
    <row r="54" spans="1:6" ht="27">
      <c r="A54" s="10" t="s">
        <v>25</v>
      </c>
      <c r="B54" s="4"/>
      <c r="C54" s="6" t="s">
        <v>14</v>
      </c>
      <c r="D54" s="16"/>
      <c r="E54" s="17">
        <f t="shared" si="6"/>
        <v>1</v>
      </c>
      <c r="F54" s="28"/>
    </row>
    <row r="55" spans="1:6" ht="54">
      <c r="A55" s="10" t="s">
        <v>33</v>
      </c>
      <c r="B55" s="4" t="s">
        <v>56</v>
      </c>
      <c r="C55" s="6" t="s">
        <v>57</v>
      </c>
      <c r="D55" s="16"/>
      <c r="E55" s="17">
        <f t="shared" si="6"/>
        <v>1</v>
      </c>
      <c r="F55" s="28"/>
    </row>
    <row r="56" spans="1:6">
      <c r="A56" s="34" t="s">
        <v>100</v>
      </c>
      <c r="B56" s="35"/>
      <c r="C56" s="35"/>
      <c r="D56" s="35"/>
      <c r="E56" s="23" t="b">
        <v>0</v>
      </c>
      <c r="F56" s="22"/>
    </row>
    <row r="57" spans="1:6">
      <c r="A57" s="10" t="s">
        <v>101</v>
      </c>
      <c r="B57" s="4" t="s">
        <v>5</v>
      </c>
      <c r="C57" s="6" t="s">
        <v>9</v>
      </c>
      <c r="D57" s="16"/>
      <c r="E57" s="17">
        <f t="shared" ref="E57:E62" si="7">IF($E$56, IF(AND($B57="●", $D57="×"), IF(F57="",-1,-2), IF($D57="",0,1)), 1)</f>
        <v>1</v>
      </c>
      <c r="F57" s="28"/>
    </row>
    <row r="58" spans="1:6" ht="54">
      <c r="A58" s="10" t="s">
        <v>102</v>
      </c>
      <c r="B58" s="4"/>
      <c r="C58" s="6" t="s">
        <v>24</v>
      </c>
      <c r="D58" s="16"/>
      <c r="E58" s="17">
        <f t="shared" si="7"/>
        <v>1</v>
      </c>
      <c r="F58" s="28"/>
    </row>
    <row r="59" spans="1:6" ht="27">
      <c r="A59" s="10" t="s">
        <v>34</v>
      </c>
      <c r="B59" s="4"/>
      <c r="C59" s="6" t="s">
        <v>32</v>
      </c>
      <c r="D59" s="16"/>
      <c r="E59" s="17">
        <f t="shared" si="7"/>
        <v>1</v>
      </c>
      <c r="F59" s="28"/>
    </row>
    <row r="60" spans="1:6" ht="27">
      <c r="A60" s="10" t="s">
        <v>26</v>
      </c>
      <c r="B60" s="4" t="s">
        <v>5</v>
      </c>
      <c r="C60" s="6" t="s">
        <v>7</v>
      </c>
      <c r="D60" s="16"/>
      <c r="E60" s="17">
        <f t="shared" si="7"/>
        <v>1</v>
      </c>
      <c r="F60" s="28"/>
    </row>
    <row r="61" spans="1:6" ht="27">
      <c r="A61" s="10" t="s">
        <v>35</v>
      </c>
      <c r="B61" s="4"/>
      <c r="C61" s="6" t="s">
        <v>14</v>
      </c>
      <c r="D61" s="16"/>
      <c r="E61" s="17">
        <f t="shared" si="7"/>
        <v>1</v>
      </c>
      <c r="F61" s="28"/>
    </row>
    <row r="62" spans="1:6" ht="54">
      <c r="A62" s="10" t="s">
        <v>103</v>
      </c>
      <c r="B62" s="4" t="s">
        <v>56</v>
      </c>
      <c r="C62" s="6" t="s">
        <v>58</v>
      </c>
      <c r="D62" s="16"/>
      <c r="E62" s="17">
        <f t="shared" si="7"/>
        <v>1</v>
      </c>
      <c r="F62" s="28"/>
    </row>
    <row r="63" spans="1:6">
      <c r="A63" s="34" t="s">
        <v>104</v>
      </c>
      <c r="B63" s="35"/>
      <c r="C63" s="35"/>
      <c r="D63" s="35"/>
      <c r="E63" s="23" t="b">
        <v>0</v>
      </c>
      <c r="F63" s="22"/>
    </row>
    <row r="64" spans="1:6">
      <c r="A64" s="10" t="s">
        <v>105</v>
      </c>
      <c r="B64" s="4" t="s">
        <v>5</v>
      </c>
      <c r="C64" s="6" t="s">
        <v>15</v>
      </c>
      <c r="D64" s="16"/>
      <c r="E64" s="17">
        <f>IF($E$63, IF(AND($B64="●", $D64="×"), IF(F64="",-1,-2), IF($D64="",0,1)), 1)</f>
        <v>1</v>
      </c>
      <c r="F64" s="28"/>
    </row>
    <row r="65" spans="1:6" ht="27">
      <c r="A65" s="10" t="s">
        <v>106</v>
      </c>
      <c r="B65" s="4" t="s">
        <v>5</v>
      </c>
      <c r="C65" s="6" t="s">
        <v>16</v>
      </c>
      <c r="D65" s="16"/>
      <c r="E65" s="17">
        <f>IF($E$63, IF(AND($B65="●", $D65="×"), IF(F65="",-1,-2), IF($D65="",0,1)), 1)</f>
        <v>1</v>
      </c>
      <c r="F65" s="28"/>
    </row>
    <row r="66" spans="1:6" ht="54">
      <c r="A66" s="10" t="s">
        <v>36</v>
      </c>
      <c r="B66" s="4"/>
      <c r="C66" s="6" t="s">
        <v>24</v>
      </c>
      <c r="D66" s="16"/>
      <c r="E66" s="17">
        <f>IF($E$63, IF(AND($B66="●", $D66="×"), IF(F66="",-1,-2), IF($D66="",0,1)), 1)</f>
        <v>1</v>
      </c>
      <c r="F66" s="28"/>
    </row>
    <row r="67" spans="1:6" ht="27">
      <c r="A67" s="10" t="s">
        <v>27</v>
      </c>
      <c r="B67" s="4"/>
      <c r="C67" s="6" t="s">
        <v>32</v>
      </c>
      <c r="D67" s="16"/>
      <c r="E67" s="17">
        <f>IF($E$63, IF(AND($B67="●", $D67="×"), IF(F67="",-1,-2), IF($D67="",0,1)), 1)</f>
        <v>1</v>
      </c>
      <c r="F67" s="28"/>
    </row>
    <row r="68" spans="1:6" ht="27">
      <c r="A68" s="10" t="s">
        <v>37</v>
      </c>
      <c r="B68" s="4" t="s">
        <v>5</v>
      </c>
      <c r="C68" s="6" t="s">
        <v>7</v>
      </c>
      <c r="D68" s="16"/>
      <c r="E68" s="17">
        <f>IF($E$63, IF(AND($B68="●", $D68="×"), IF(F68="",-1,-2), IF($D68="",0,1)), 1)</f>
        <v>1</v>
      </c>
      <c r="F68" s="28"/>
    </row>
    <row r="69" spans="1:6">
      <c r="A69" s="34" t="s">
        <v>107</v>
      </c>
      <c r="B69" s="35"/>
      <c r="C69" s="35"/>
      <c r="D69" s="35"/>
      <c r="E69" s="23" t="b">
        <v>0</v>
      </c>
      <c r="F69" s="22"/>
    </row>
    <row r="70" spans="1:6">
      <c r="A70" s="10" t="s">
        <v>108</v>
      </c>
      <c r="B70" s="4" t="s">
        <v>5</v>
      </c>
      <c r="C70" s="6" t="s">
        <v>17</v>
      </c>
      <c r="D70" s="16"/>
      <c r="E70" s="17">
        <f>IF($E$69, IF(AND($B70="●", $D70="×"), IF(F70="",-1,-2), IF($D70="",0,1)), 1)</f>
        <v>1</v>
      </c>
      <c r="F70" s="28"/>
    </row>
    <row r="71" spans="1:6" ht="27">
      <c r="A71" s="10" t="s">
        <v>109</v>
      </c>
      <c r="B71" s="4"/>
      <c r="C71" s="6" t="s">
        <v>19</v>
      </c>
      <c r="D71" s="16"/>
      <c r="E71" s="17">
        <f>IF($E$69, IF(AND($B71="●", $D71="×"), IF(F71="",-1,-2), IF($D71="",0,1)), 1)</f>
        <v>1</v>
      </c>
      <c r="F71" s="28"/>
    </row>
    <row r="72" spans="1:6" ht="54">
      <c r="A72" s="10" t="s">
        <v>29</v>
      </c>
      <c r="B72" s="4"/>
      <c r="C72" s="6" t="s">
        <v>24</v>
      </c>
      <c r="D72" s="16"/>
      <c r="E72" s="17">
        <f>IF($E$69, IF(AND($B72="●", $D72="×"), IF(F72="",-1,-2), IF($D72="",0,1)), 1)</f>
        <v>1</v>
      </c>
      <c r="F72" s="28"/>
    </row>
    <row r="73" spans="1:6" ht="27">
      <c r="A73" s="10" t="s">
        <v>28</v>
      </c>
      <c r="B73" s="4"/>
      <c r="C73" s="6" t="s">
        <v>32</v>
      </c>
      <c r="D73" s="16"/>
      <c r="E73" s="17">
        <f>IF($E$69, IF(AND($B73="●", $D73="×"), IF(F73="",-1,-2), IF($D73="",0,1)), 1)</f>
        <v>1</v>
      </c>
      <c r="F73" s="28"/>
    </row>
    <row r="74" spans="1:6" ht="27">
      <c r="A74" s="10" t="s">
        <v>30</v>
      </c>
      <c r="B74" s="4" t="s">
        <v>5</v>
      </c>
      <c r="C74" s="6" t="s">
        <v>7</v>
      </c>
      <c r="D74" s="16"/>
      <c r="E74" s="17">
        <f>IF($E$69, IF(AND($B74="●", $D74="×"), IF(F74="",-1,-2), IF($D74="",0,1)), 1)</f>
        <v>1</v>
      </c>
      <c r="F74" s="28"/>
    </row>
    <row r="75" spans="1:6">
      <c r="A75" s="34" t="s">
        <v>110</v>
      </c>
      <c r="B75" s="35"/>
      <c r="C75" s="35"/>
      <c r="D75" s="35"/>
      <c r="E75" s="23" t="b">
        <v>0</v>
      </c>
      <c r="F75" s="22"/>
    </row>
    <row r="76" spans="1:6">
      <c r="A76" s="10" t="s">
        <v>111</v>
      </c>
      <c r="B76" s="4" t="s">
        <v>46</v>
      </c>
      <c r="C76" s="6" t="s">
        <v>47</v>
      </c>
      <c r="D76" s="16"/>
      <c r="E76" s="17">
        <f>IF($E$75, IF(AND($B76="●", $D76="×"), IF(F76="",-1,-2), IF($D76="",0,1)), 1)</f>
        <v>1</v>
      </c>
      <c r="F76" s="28"/>
    </row>
    <row r="77" spans="1:6" ht="54">
      <c r="A77" s="10" t="s">
        <v>112</v>
      </c>
      <c r="B77" s="4"/>
      <c r="C77" s="6" t="s">
        <v>51</v>
      </c>
      <c r="D77" s="16"/>
      <c r="E77" s="17">
        <f>IF($E$75, IF(AND($B77="●", $D77="×"), IF(F77="",-1,-2), IF($D77="",0,1)), 1)</f>
        <v>1</v>
      </c>
      <c r="F77" s="28"/>
    </row>
    <row r="78" spans="1:6" ht="27">
      <c r="A78" s="10" t="s">
        <v>18</v>
      </c>
      <c r="B78" s="4"/>
      <c r="C78" s="6" t="s">
        <v>48</v>
      </c>
      <c r="D78" s="16"/>
      <c r="E78" s="17">
        <f>IF($E$75, IF(AND($B78="●", $D78="×"), IF(F78="",-1,-2), IF($D78="",0,1)), 1)</f>
        <v>1</v>
      </c>
      <c r="F78" s="28"/>
    </row>
    <row r="79" spans="1:6" ht="27">
      <c r="A79" s="10" t="s">
        <v>31</v>
      </c>
      <c r="B79" s="4" t="s">
        <v>50</v>
      </c>
      <c r="C79" s="6" t="s">
        <v>49</v>
      </c>
      <c r="D79" s="16"/>
      <c r="E79" s="17">
        <f>IF($E$75, IF(AND($B79="●", $D79="×"), IF(F79="",-1,-2), IF($D79="",0,1)), 1)</f>
        <v>1</v>
      </c>
      <c r="F79" s="28"/>
    </row>
    <row r="80" spans="1:6">
      <c r="A80" s="34" t="s">
        <v>113</v>
      </c>
      <c r="B80" s="35"/>
      <c r="C80" s="35"/>
      <c r="D80" s="35"/>
      <c r="E80" s="23" t="b">
        <v>0</v>
      </c>
      <c r="F80" s="22"/>
    </row>
    <row r="81" spans="1:6">
      <c r="A81" s="10" t="s">
        <v>114</v>
      </c>
      <c r="B81" s="4" t="s">
        <v>5</v>
      </c>
      <c r="C81" s="6" t="s">
        <v>70</v>
      </c>
      <c r="D81" s="16"/>
      <c r="E81" s="17">
        <f>IF($E$80, IF(AND($B81="●", $D81="×"), IF(F81="",-1,-2), IF($D81="",0,1)), 1)</f>
        <v>1</v>
      </c>
      <c r="F81" s="28"/>
    </row>
    <row r="82" spans="1:6">
      <c r="A82" s="34" t="s">
        <v>115</v>
      </c>
      <c r="B82" s="35"/>
      <c r="C82" s="35"/>
      <c r="D82" s="35"/>
      <c r="E82" s="23" t="b">
        <v>1</v>
      </c>
      <c r="F82" s="22"/>
    </row>
    <row r="83" spans="1:6">
      <c r="A83" s="10" t="s">
        <v>116</v>
      </c>
      <c r="B83" s="4" t="s">
        <v>5</v>
      </c>
      <c r="C83" s="6" t="s">
        <v>20</v>
      </c>
      <c r="D83" s="16" t="s">
        <v>164</v>
      </c>
      <c r="E83" s="17">
        <f>IF($E$82, IF(AND($B83="●", $D83="×"), IF(F83="",-1,-2), IF($D83="",0,1)), 1)</f>
        <v>1</v>
      </c>
      <c r="F83" s="28"/>
    </row>
    <row r="84" spans="1:6" ht="27">
      <c r="A84" s="10" t="s">
        <v>117</v>
      </c>
      <c r="B84" s="4" t="s">
        <v>5</v>
      </c>
      <c r="C84" s="6" t="s">
        <v>38</v>
      </c>
      <c r="D84" s="16" t="s">
        <v>164</v>
      </c>
      <c r="E84" s="17">
        <f>IF($E$82, IF(AND($B84="●", $D84="×"), IF(F84="",-1,-2), IF($D84="",0,1)), 1)</f>
        <v>1</v>
      </c>
      <c r="F84" s="28"/>
    </row>
    <row r="85" spans="1:6">
      <c r="A85" s="34" t="s">
        <v>118</v>
      </c>
      <c r="B85" s="35"/>
      <c r="C85" s="35"/>
      <c r="D85" s="35"/>
      <c r="E85" s="23" t="b">
        <v>0</v>
      </c>
      <c r="F85" s="22"/>
    </row>
    <row r="86" spans="1:6" ht="40.5">
      <c r="A86" s="10" t="s">
        <v>119</v>
      </c>
      <c r="B86" s="4" t="s">
        <v>5</v>
      </c>
      <c r="C86" s="6" t="s">
        <v>21</v>
      </c>
      <c r="D86" s="16"/>
      <c r="E86" s="17">
        <f>IF($E$85, IF(AND($B86="●", $D86="×"),  IF(F86="",-1,-2), IF($D86="",0,1)), 1)</f>
        <v>1</v>
      </c>
      <c r="F86" s="28"/>
    </row>
    <row r="87" spans="1:6" ht="54">
      <c r="A87" s="14" t="s">
        <v>120</v>
      </c>
      <c r="B87" s="21" t="str">
        <f>IF($D$87="×","","●")</f>
        <v>●</v>
      </c>
      <c r="C87" s="8" t="s">
        <v>161</v>
      </c>
      <c r="D87" s="16"/>
      <c r="E87" s="17">
        <f>IF($E$85, IF(AND($B87="●", $D87="×"),  IF(F87="",-1,-2), IF($D87="",0,1)), 1)</f>
        <v>1</v>
      </c>
      <c r="F87" s="29"/>
    </row>
    <row r="88" spans="1:6" ht="54">
      <c r="A88" s="15" t="s">
        <v>121</v>
      </c>
      <c r="B88" s="21" t="str">
        <f>IF($D$87="×","●","")</f>
        <v/>
      </c>
      <c r="C88" s="8" t="s">
        <v>43</v>
      </c>
      <c r="D88" s="16"/>
      <c r="E88" s="17">
        <f>IF(AND($E$85, $D87="×"), IF(AND($B88="●", $D88="×"), IF(F88="",-1,-2), IF($D88="",0,1)), 1)</f>
        <v>1</v>
      </c>
      <c r="F88" s="28"/>
    </row>
    <row r="89" spans="1:6" ht="54">
      <c r="A89" s="9" t="s">
        <v>122</v>
      </c>
      <c r="B89" s="4"/>
      <c r="C89" s="6" t="s">
        <v>24</v>
      </c>
      <c r="D89" s="16"/>
      <c r="E89" s="17">
        <f>IF($E$85, IF(AND($B89="●", $D89="×"),  IF(F89="",-1,-2), IF($D89="",0,1)), 1)</f>
        <v>1</v>
      </c>
      <c r="F89" s="30"/>
    </row>
    <row r="90" spans="1:6" ht="40.5">
      <c r="A90" s="9" t="s">
        <v>123</v>
      </c>
      <c r="B90" s="4"/>
      <c r="C90" s="6" t="s">
        <v>44</v>
      </c>
      <c r="D90" s="16"/>
      <c r="E90" s="17">
        <f>IF($E$85, IF(AND($B90="●", $D90="×"),  IF(F90="",-1,-2), IF($D90="",0,1)), 1)</f>
        <v>1</v>
      </c>
      <c r="F90" s="28"/>
    </row>
    <row r="91" spans="1:6">
      <c r="A91" s="34" t="s">
        <v>124</v>
      </c>
      <c r="B91" s="35"/>
      <c r="C91" s="35"/>
      <c r="D91" s="35"/>
      <c r="E91" s="23" t="b">
        <v>1</v>
      </c>
      <c r="F91" s="22"/>
    </row>
    <row r="92" spans="1:6">
      <c r="A92" s="10" t="s">
        <v>125</v>
      </c>
      <c r="B92" s="4" t="s">
        <v>5</v>
      </c>
      <c r="C92" s="6" t="s">
        <v>71</v>
      </c>
      <c r="D92" s="16" t="s">
        <v>164</v>
      </c>
      <c r="E92" s="17">
        <f>IF($E$91, IF(AND($B92="●", $D92="×"), IF(F92="",-1,-2), IF($D92="",0,1)), 1)</f>
        <v>1</v>
      </c>
      <c r="F92" s="28"/>
    </row>
    <row r="93" spans="1:6" ht="27">
      <c r="A93" s="10" t="s">
        <v>126</v>
      </c>
      <c r="B93" s="4"/>
      <c r="C93" s="6" t="s">
        <v>72</v>
      </c>
      <c r="D93" s="16" t="s">
        <v>164</v>
      </c>
      <c r="E93" s="17">
        <f>IF($E$91, IF(AND($B93="●", $D93="×"), IF(F93="",-1,-2), IF($D93="",0,1)), 1)</f>
        <v>1</v>
      </c>
      <c r="F93" s="28"/>
    </row>
    <row r="94" spans="1:6">
      <c r="A94" s="34" t="s">
        <v>127</v>
      </c>
      <c r="B94" s="35"/>
      <c r="C94" s="35"/>
      <c r="D94" s="35"/>
      <c r="E94" s="24"/>
      <c r="F94" s="22"/>
    </row>
    <row r="95" spans="1:6" ht="27">
      <c r="A95" s="10" t="s">
        <v>128</v>
      </c>
      <c r="B95" s="4" t="s">
        <v>55</v>
      </c>
      <c r="C95" s="6" t="s">
        <v>22</v>
      </c>
      <c r="D95" s="16" t="s">
        <v>164</v>
      </c>
      <c r="E95" s="17">
        <f t="shared" ref="E95:E100" si="8">IF(AND($B95="●", $D95="×"),  IF(F95="",-1,-2), IF($D95="",0,1))</f>
        <v>1</v>
      </c>
      <c r="F95" s="28"/>
    </row>
    <row r="96" spans="1:6" ht="27">
      <c r="A96" s="10" t="s">
        <v>129</v>
      </c>
      <c r="B96" s="4" t="s">
        <v>5</v>
      </c>
      <c r="C96" s="6" t="s">
        <v>63</v>
      </c>
      <c r="D96" s="16" t="s">
        <v>164</v>
      </c>
      <c r="E96" s="17">
        <f t="shared" si="8"/>
        <v>1</v>
      </c>
      <c r="F96" s="28"/>
    </row>
    <row r="97" spans="1:6" ht="27">
      <c r="A97" s="10" t="s">
        <v>130</v>
      </c>
      <c r="B97" s="4" t="s">
        <v>5</v>
      </c>
      <c r="C97" s="6" t="s">
        <v>59</v>
      </c>
      <c r="D97" s="16" t="s">
        <v>164</v>
      </c>
      <c r="E97" s="17">
        <f t="shared" si="8"/>
        <v>1</v>
      </c>
      <c r="F97" s="28"/>
    </row>
    <row r="98" spans="1:6" ht="27">
      <c r="A98" s="10" t="s">
        <v>131</v>
      </c>
      <c r="B98" s="4" t="s">
        <v>5</v>
      </c>
      <c r="C98" s="6" t="s">
        <v>60</v>
      </c>
      <c r="D98" s="16" t="s">
        <v>164</v>
      </c>
      <c r="E98" s="17">
        <f t="shared" si="8"/>
        <v>1</v>
      </c>
      <c r="F98" s="28"/>
    </row>
    <row r="99" spans="1:6" ht="54">
      <c r="A99" s="10" t="s">
        <v>157</v>
      </c>
      <c r="B99" s="4" t="s">
        <v>5</v>
      </c>
      <c r="C99" s="6" t="s">
        <v>163</v>
      </c>
      <c r="D99" s="16" t="s">
        <v>164</v>
      </c>
      <c r="E99" s="17">
        <f t="shared" si="8"/>
        <v>1</v>
      </c>
      <c r="F99" s="28"/>
    </row>
    <row r="100" spans="1:6" ht="27">
      <c r="A100" s="10" t="s">
        <v>158</v>
      </c>
      <c r="B100" s="4" t="s">
        <v>5</v>
      </c>
      <c r="C100" s="6" t="s">
        <v>159</v>
      </c>
      <c r="D100" s="16" t="s">
        <v>164</v>
      </c>
      <c r="E100" s="17">
        <f t="shared" si="8"/>
        <v>1</v>
      </c>
      <c r="F100" s="28"/>
    </row>
    <row r="101" spans="1:6">
      <c r="B101" s="2"/>
    </row>
    <row r="102" spans="1:6">
      <c r="B102" s="2"/>
      <c r="D102" s="25" t="s">
        <v>39</v>
      </c>
      <c r="E102" s="31"/>
      <c r="F102" s="26" t="s">
        <v>143</v>
      </c>
    </row>
    <row r="103" spans="1:6">
      <c r="B103" s="2"/>
      <c r="D103" s="25" t="s">
        <v>40</v>
      </c>
      <c r="E103" s="32"/>
      <c r="F103" s="27" t="str">
        <f>IF(COUNTIF(E3:E98,"0")&gt;0, "未評価の項目があります（NG）", IF(COUNTIF(E3:E98,"-1")&gt;0,"必須要件が実施できない理由を
コメント欄にご記載ください（ＮＧ）","申請できます（OK）"))</f>
        <v>申請できます（OK）</v>
      </c>
    </row>
    <row r="104" spans="1:6">
      <c r="B104" s="2"/>
      <c r="E104" s="33"/>
    </row>
    <row r="105" spans="1:6" ht="27" customHeight="1">
      <c r="B105" s="2"/>
    </row>
    <row r="106" spans="1:6">
      <c r="B106" s="2"/>
    </row>
    <row r="107" spans="1:6">
      <c r="B107" s="2"/>
    </row>
    <row r="108" spans="1:6">
      <c r="B108" s="2"/>
    </row>
    <row r="109" spans="1:6">
      <c r="B109" s="2"/>
    </row>
  </sheetData>
  <sheetProtection algorithmName="SHA-512" hashValue="OhxHsVHa5jjfwAmLxDIpzqrFRN260BjXRxINF3FplyzBD4SnX1KwAHZPpgl5Itx3XI3BRTBD27BtepkoWBs3gw==" saltValue="Y6fAz52otiP86BNiI0Dq2A==" spinCount="100000" sheet="1" formatCells="0" formatColumns="0" formatRows="0" insertColumns="0" insertRows="0" insertHyperlinks="0" deleteColumns="0" deleteRows="0" sort="0" autoFilter="0" pivotTables="0"/>
  <mergeCells count="17">
    <mergeCell ref="A1:C1"/>
    <mergeCell ref="A38:D38"/>
    <mergeCell ref="A29:D29"/>
    <mergeCell ref="A24:D24"/>
    <mergeCell ref="A18:D18"/>
    <mergeCell ref="A94:D94"/>
    <mergeCell ref="A3:D3"/>
    <mergeCell ref="A10:D10"/>
    <mergeCell ref="A85:D85"/>
    <mergeCell ref="A82:D82"/>
    <mergeCell ref="A69:D69"/>
    <mergeCell ref="A63:D63"/>
    <mergeCell ref="A56:D56"/>
    <mergeCell ref="A49:D49"/>
    <mergeCell ref="A75:D75"/>
    <mergeCell ref="A80:D80"/>
    <mergeCell ref="A91:D91"/>
  </mergeCells>
  <phoneticPr fontId="1"/>
  <conditionalFormatting sqref="A19:F22 A20:A23">
    <cfRule type="expression" dxfId="45" priority="23" stopIfTrue="1">
      <formula>NOT($E$18)</formula>
    </cfRule>
    <cfRule type="expression" dxfId="44" priority="24" stopIfTrue="1">
      <formula>IF(AND($B19="●",A19="×"), TRUE, FALSE)</formula>
    </cfRule>
  </conditionalFormatting>
  <conditionalFormatting sqref="A25:F28">
    <cfRule type="expression" dxfId="43" priority="25" stopIfTrue="1">
      <formula>NOT($E$24)</formula>
    </cfRule>
    <cfRule type="expression" dxfId="42" priority="26" stopIfTrue="1">
      <formula>IF(AND($B25="●",A25="×"), TRUE, FALSE)</formula>
    </cfRule>
  </conditionalFormatting>
  <conditionalFormatting sqref="A30:F36 A31:A37">
    <cfRule type="expression" dxfId="41" priority="27" stopIfTrue="1">
      <formula>NOT($E$29)</formula>
    </cfRule>
    <cfRule type="expression" dxfId="40" priority="28" stopIfTrue="1">
      <formula>IF(AND($B30="●",A30="×"), TRUE, FALSE)</formula>
    </cfRule>
  </conditionalFormatting>
  <conditionalFormatting sqref="A48 E48 A39:F47">
    <cfRule type="expression" dxfId="39" priority="29" stopIfTrue="1">
      <formula>NOT($E$38)</formula>
    </cfRule>
    <cfRule type="expression" dxfId="38" priority="30" stopIfTrue="1">
      <formula>IF(AND($B39="●",A39="×"), TRUE, FALSE)</formula>
    </cfRule>
  </conditionalFormatting>
  <conditionalFormatting sqref="A50:F55">
    <cfRule type="expression" dxfId="37" priority="31" stopIfTrue="1">
      <formula>NOT($E$49)</formula>
    </cfRule>
    <cfRule type="expression" dxfId="36" priority="32" stopIfTrue="1">
      <formula>IF(AND($B50="●",A50="×"), TRUE, FALSE)</formula>
    </cfRule>
  </conditionalFormatting>
  <conditionalFormatting sqref="A57:F62">
    <cfRule type="expression" dxfId="35" priority="33" stopIfTrue="1">
      <formula>NOT($E$56)</formula>
    </cfRule>
    <cfRule type="expression" dxfId="34" priority="34" stopIfTrue="1">
      <formula>IF(AND($B57="●",A57="×"), TRUE, FALSE)</formula>
    </cfRule>
  </conditionalFormatting>
  <conditionalFormatting sqref="A64:F68">
    <cfRule type="expression" dxfId="33" priority="35" stopIfTrue="1">
      <formula>NOT($E$63)</formula>
    </cfRule>
    <cfRule type="expression" dxfId="32" priority="36" stopIfTrue="1">
      <formula>IF(AND($B64="●",A64="×"), TRUE, FALSE)</formula>
    </cfRule>
  </conditionalFormatting>
  <conditionalFormatting sqref="A70:F74">
    <cfRule type="expression" dxfId="31" priority="37" stopIfTrue="1">
      <formula>NOT($E$69)</formula>
    </cfRule>
    <cfRule type="expression" dxfId="30" priority="38" stopIfTrue="1">
      <formula>IF(AND($B70="●",A70="×"), TRUE, FALSE)</formula>
    </cfRule>
  </conditionalFormatting>
  <conditionalFormatting sqref="A83:F84">
    <cfRule type="expression" dxfId="29" priority="39" stopIfTrue="1">
      <formula>NOT($E$82)</formula>
    </cfRule>
    <cfRule type="expression" dxfId="28" priority="40" stopIfTrue="1">
      <formula>IF(AND($B83="●",A83="×"), TRUE, FALSE)</formula>
    </cfRule>
  </conditionalFormatting>
  <conditionalFormatting sqref="A88:F88">
    <cfRule type="expression" dxfId="27" priority="43" stopIfTrue="1">
      <formula>IF(OR(NOT($E$85),$D$87&lt;&gt;"×"), TRUE, FALSE)</formula>
    </cfRule>
    <cfRule type="expression" dxfId="26" priority="44" stopIfTrue="1">
      <formula>IF(AND($B88="●",A88="×"), TRUE, FALSE)</formula>
    </cfRule>
  </conditionalFormatting>
  <conditionalFormatting sqref="D95:D98">
    <cfRule type="expression" dxfId="25" priority="61" stopIfTrue="1">
      <formula>IF(AND($B95="●",D95="×"), TRUE, FALSE)</formula>
    </cfRule>
  </conditionalFormatting>
  <conditionalFormatting sqref="F103">
    <cfRule type="expression" dxfId="24" priority="107" stopIfTrue="1">
      <formula>IF(LEFT($F$103,3)="未評価", TRUE, FALSE)</formula>
    </cfRule>
    <cfRule type="expression" dxfId="23" priority="108" stopIfTrue="1">
      <formula>IF(LEFT($F$103,2)="申請", TRUE, FALSE)</formula>
    </cfRule>
    <cfRule type="expression" dxfId="22" priority="109" stopIfTrue="1">
      <formula>IF(LEFT($F$103,4)="必須要件", TRUE, FALSE)</formula>
    </cfRule>
  </conditionalFormatting>
  <conditionalFormatting sqref="A11:F17">
    <cfRule type="expression" dxfId="21" priority="21" stopIfTrue="1">
      <formula>NOT($E$10)</formula>
    </cfRule>
    <cfRule type="expression" dxfId="20" priority="22" stopIfTrue="1">
      <formula>IF(AND($B11="●",A11="×"), TRUE, FALSE)</formula>
    </cfRule>
  </conditionalFormatting>
  <conditionalFormatting sqref="A4:F9">
    <cfRule type="expression" dxfId="19" priority="17" stopIfTrue="1">
      <formula>NOT($E$3)</formula>
    </cfRule>
    <cfRule type="expression" dxfId="18" priority="18" stopIfTrue="1">
      <formula>IF(AND($B4="●",A4="×"), TRUE, FALSE)</formula>
    </cfRule>
  </conditionalFormatting>
  <conditionalFormatting sqref="A76:F79">
    <cfRule type="expression" dxfId="17" priority="15" stopIfTrue="1">
      <formula>NOT($E$75)</formula>
    </cfRule>
  </conditionalFormatting>
  <conditionalFormatting sqref="D76:D79">
    <cfRule type="expression" dxfId="16" priority="16" stopIfTrue="1">
      <formula>IF(AND($B76="●",$D76="×"), TRUE, FALSE)</formula>
    </cfRule>
  </conditionalFormatting>
  <conditionalFormatting sqref="A86:F87 A89:F90">
    <cfRule type="expression" dxfId="15" priority="41" stopIfTrue="1">
      <formula>NOT($E$85)</formula>
    </cfRule>
    <cfRule type="expression" dxfId="14" priority="42" stopIfTrue="1">
      <formula>IF(AND($B86="●",A86="×"), TRUE, FALSE)</formula>
    </cfRule>
  </conditionalFormatting>
  <conditionalFormatting sqref="A92:F93">
    <cfRule type="expression" dxfId="13" priority="9" stopIfTrue="1">
      <formula>NOT($E$91)</formula>
    </cfRule>
    <cfRule type="expression" dxfId="12" priority="10" stopIfTrue="1">
      <formula>IF(AND($B92="●",A92="×"), TRUE, FALSE)</formula>
    </cfRule>
  </conditionalFormatting>
  <conditionalFormatting sqref="A81:F81">
    <cfRule type="expression" dxfId="11" priority="258" stopIfTrue="1">
      <formula>NOT($E$80)</formula>
    </cfRule>
    <cfRule type="expression" dxfId="10" priority="259" stopIfTrue="1">
      <formula>IF(AND($B81="●",A81="×"), TRUE, FALSE)</formula>
    </cfRule>
  </conditionalFormatting>
  <conditionalFormatting sqref="A46:A47">
    <cfRule type="expression" dxfId="9" priority="264" stopIfTrue="1">
      <formula>NOT(AND(#REF!,$E$38))</formula>
    </cfRule>
    <cfRule type="expression" dxfId="8" priority="265" stopIfTrue="1">
      <formula>IF(AND($B46="●",A46="×"), TRUE, FALSE)</formula>
    </cfRule>
  </conditionalFormatting>
  <conditionalFormatting sqref="A23:F23">
    <cfRule type="expression" dxfId="7" priority="332" stopIfTrue="1">
      <formula>NOT(AND($E$3,$E$18))</formula>
    </cfRule>
    <cfRule type="expression" dxfId="6" priority="333" stopIfTrue="1">
      <formula>IF(AND($B23="●",A23="×"), TRUE, FALSE)</formula>
    </cfRule>
  </conditionalFormatting>
  <conditionalFormatting sqref="A48:F48">
    <cfRule type="expression" dxfId="5" priority="346" stopIfTrue="1">
      <formula>NOT(AND($E$10,$E$38))</formula>
    </cfRule>
    <cfRule type="expression" dxfId="4" priority="347" stopIfTrue="1">
      <formula>IF(AND($B48="●",A48="×"), TRUE, FALSE)</formula>
    </cfRule>
  </conditionalFormatting>
  <conditionalFormatting sqref="A37:F37">
    <cfRule type="expression" dxfId="3" priority="348" stopIfTrue="1">
      <formula>NOT(AND($E10,$E$29))</formula>
    </cfRule>
    <cfRule type="expression" dxfId="2" priority="349" stopIfTrue="1">
      <formula>IF(AND($B37="●",A37="×"), TRUE, FALSE)</formula>
    </cfRule>
  </conditionalFormatting>
  <conditionalFormatting sqref="D99">
    <cfRule type="expression" dxfId="1" priority="2" stopIfTrue="1">
      <formula>IF(AND($B99="●",D99="×"), TRUE, FALSE)</formula>
    </cfRule>
  </conditionalFormatting>
  <conditionalFormatting sqref="D100">
    <cfRule type="expression" dxfId="0" priority="1" stopIfTrue="1">
      <formula>IF(AND($B100="●",D100="×"), TRUE, FALSE)</formula>
    </cfRule>
  </conditionalFormatting>
  <dataValidations count="1">
    <dataValidation type="list" allowBlank="1" showInputMessage="1" showErrorMessage="1" sqref="D19:D23 D92:D93 D50:D55 D83:D84 D64:D68 D57:D62 D70:D74 D86:D90 D76:D79 D81 D39:D48 D25:D28 D30:D37 D4:D9 D11:D17 D95:D100">
      <formula1>"○,×"</formula1>
    </dataValidation>
  </dataValidations>
  <pageMargins left="0.75" right="0.75" top="1" bottom="1" header="0.51200000000000001" footer="0.51200000000000001"/>
  <pageSetup paperSize="9" scale="79" fitToHeight="3" orientation="portrait" horizontalDpi="300" verticalDpi="360" r:id="rId1"/>
  <headerFooter alignWithMargins="0"/>
  <rowBreaks count="1" manualBreakCount="1">
    <brk id="3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7" r:id="rId4" name="Check Box 13">
              <controlPr locked="0" defaultSize="0" autoFill="0" autoLine="0" autoPict="0">
                <anchor moveWithCells="1">
                  <from>
                    <xdr:col>2</xdr:col>
                    <xdr:colOff>685800</xdr:colOff>
                    <xdr:row>2</xdr:row>
                    <xdr:rowOff>0</xdr:rowOff>
                  </from>
                  <to>
                    <xdr:col>2</xdr:col>
                    <xdr:colOff>2152650</xdr:colOff>
                    <xdr:row>3</xdr:row>
                    <xdr:rowOff>38100</xdr:rowOff>
                  </to>
                </anchor>
              </controlPr>
            </control>
          </mc:Choice>
        </mc:AlternateContent>
        <mc:AlternateContent xmlns:mc="http://schemas.openxmlformats.org/markup-compatibility/2006">
          <mc:Choice Requires="x14">
            <control shapeId="1040" r:id="rId5" name="Check Box 16">
              <controlPr locked="0" defaultSize="0" autoFill="0" autoLine="0" autoPict="0">
                <anchor moveWithCells="1">
                  <from>
                    <xdr:col>2</xdr:col>
                    <xdr:colOff>2400300</xdr:colOff>
                    <xdr:row>9</xdr:row>
                    <xdr:rowOff>0</xdr:rowOff>
                  </from>
                  <to>
                    <xdr:col>2</xdr:col>
                    <xdr:colOff>3867150</xdr:colOff>
                    <xdr:row>10</xdr:row>
                    <xdr:rowOff>38100</xdr:rowOff>
                  </to>
                </anchor>
              </controlPr>
            </control>
          </mc:Choice>
        </mc:AlternateContent>
        <mc:AlternateContent xmlns:mc="http://schemas.openxmlformats.org/markup-compatibility/2006">
          <mc:Choice Requires="x14">
            <control shapeId="1041" r:id="rId6" name="Check Box 17">
              <controlPr locked="0" defaultSize="0" autoFill="0" autoLine="0" autoPict="0">
                <anchor moveWithCells="1">
                  <from>
                    <xdr:col>2</xdr:col>
                    <xdr:colOff>1685925</xdr:colOff>
                    <xdr:row>17</xdr:row>
                    <xdr:rowOff>0</xdr:rowOff>
                  </from>
                  <to>
                    <xdr:col>2</xdr:col>
                    <xdr:colOff>3152775</xdr:colOff>
                    <xdr:row>18</xdr:row>
                    <xdr:rowOff>38100</xdr:rowOff>
                  </to>
                </anchor>
              </controlPr>
            </control>
          </mc:Choice>
        </mc:AlternateContent>
        <mc:AlternateContent xmlns:mc="http://schemas.openxmlformats.org/markup-compatibility/2006">
          <mc:Choice Requires="x14">
            <control shapeId="1042" r:id="rId7" name="Check Box 18">
              <controlPr locked="0" defaultSize="0" autoFill="0" autoLine="0" autoPict="0">
                <anchor moveWithCells="1">
                  <from>
                    <xdr:col>2</xdr:col>
                    <xdr:colOff>2124075</xdr:colOff>
                    <xdr:row>23</xdr:row>
                    <xdr:rowOff>0</xdr:rowOff>
                  </from>
                  <to>
                    <xdr:col>2</xdr:col>
                    <xdr:colOff>3590925</xdr:colOff>
                    <xdr:row>24</xdr:row>
                    <xdr:rowOff>38100</xdr:rowOff>
                  </to>
                </anchor>
              </controlPr>
            </control>
          </mc:Choice>
        </mc:AlternateContent>
        <mc:AlternateContent xmlns:mc="http://schemas.openxmlformats.org/markup-compatibility/2006">
          <mc:Choice Requires="x14">
            <control shapeId="1043" r:id="rId8" name="Check Box 19">
              <controlPr locked="0" defaultSize="0" autoFill="0" autoLine="0" autoPict="0">
                <anchor moveWithCells="1">
                  <from>
                    <xdr:col>2</xdr:col>
                    <xdr:colOff>2495550</xdr:colOff>
                    <xdr:row>28</xdr:row>
                    <xdr:rowOff>0</xdr:rowOff>
                  </from>
                  <to>
                    <xdr:col>2</xdr:col>
                    <xdr:colOff>3962400</xdr:colOff>
                    <xdr:row>29</xdr:row>
                    <xdr:rowOff>38100</xdr:rowOff>
                  </to>
                </anchor>
              </controlPr>
            </control>
          </mc:Choice>
        </mc:AlternateContent>
        <mc:AlternateContent xmlns:mc="http://schemas.openxmlformats.org/markup-compatibility/2006">
          <mc:Choice Requires="x14">
            <control shapeId="1044" r:id="rId9" name="Check Box 20">
              <controlPr locked="0" defaultSize="0" autoFill="0" autoLine="0" autoPict="0">
                <anchor moveWithCells="1">
                  <from>
                    <xdr:col>2</xdr:col>
                    <xdr:colOff>2114550</xdr:colOff>
                    <xdr:row>37</xdr:row>
                    <xdr:rowOff>0</xdr:rowOff>
                  </from>
                  <to>
                    <xdr:col>2</xdr:col>
                    <xdr:colOff>3581400</xdr:colOff>
                    <xdr:row>38</xdr:row>
                    <xdr:rowOff>38100</xdr:rowOff>
                  </to>
                </anchor>
              </controlPr>
            </control>
          </mc:Choice>
        </mc:AlternateContent>
        <mc:AlternateContent xmlns:mc="http://schemas.openxmlformats.org/markup-compatibility/2006">
          <mc:Choice Requires="x14">
            <control shapeId="1045" r:id="rId10" name="Check Box 21">
              <controlPr locked="0" defaultSize="0" autoFill="0" autoLine="0" autoPict="0">
                <anchor moveWithCells="1">
                  <from>
                    <xdr:col>2</xdr:col>
                    <xdr:colOff>1857375</xdr:colOff>
                    <xdr:row>48</xdr:row>
                    <xdr:rowOff>0</xdr:rowOff>
                  </from>
                  <to>
                    <xdr:col>2</xdr:col>
                    <xdr:colOff>3324225</xdr:colOff>
                    <xdr:row>49</xdr:row>
                    <xdr:rowOff>38100</xdr:rowOff>
                  </to>
                </anchor>
              </controlPr>
            </control>
          </mc:Choice>
        </mc:AlternateContent>
        <mc:AlternateContent xmlns:mc="http://schemas.openxmlformats.org/markup-compatibility/2006">
          <mc:Choice Requires="x14">
            <control shapeId="1046" r:id="rId11" name="Check Box 22">
              <controlPr locked="0" defaultSize="0" autoFill="0" autoLine="0" autoPict="0">
                <anchor moveWithCells="1">
                  <from>
                    <xdr:col>2</xdr:col>
                    <xdr:colOff>2000250</xdr:colOff>
                    <xdr:row>55</xdr:row>
                    <xdr:rowOff>0</xdr:rowOff>
                  </from>
                  <to>
                    <xdr:col>2</xdr:col>
                    <xdr:colOff>3467100</xdr:colOff>
                    <xdr:row>56</xdr:row>
                    <xdr:rowOff>38100</xdr:rowOff>
                  </to>
                </anchor>
              </controlPr>
            </control>
          </mc:Choice>
        </mc:AlternateContent>
        <mc:AlternateContent xmlns:mc="http://schemas.openxmlformats.org/markup-compatibility/2006">
          <mc:Choice Requires="x14">
            <control shapeId="1047" r:id="rId12" name="Check Box 23">
              <controlPr locked="0" defaultSize="0" autoFill="0" autoLine="0" autoPict="0">
                <anchor moveWithCells="1">
                  <from>
                    <xdr:col>2</xdr:col>
                    <xdr:colOff>2562225</xdr:colOff>
                    <xdr:row>62</xdr:row>
                    <xdr:rowOff>0</xdr:rowOff>
                  </from>
                  <to>
                    <xdr:col>2</xdr:col>
                    <xdr:colOff>4029075</xdr:colOff>
                    <xdr:row>63</xdr:row>
                    <xdr:rowOff>38100</xdr:rowOff>
                  </to>
                </anchor>
              </controlPr>
            </control>
          </mc:Choice>
        </mc:AlternateContent>
        <mc:AlternateContent xmlns:mc="http://schemas.openxmlformats.org/markup-compatibility/2006">
          <mc:Choice Requires="x14">
            <control shapeId="1049" r:id="rId13" name="Check Box 25">
              <controlPr locked="0" defaultSize="0" autoFill="0" autoLine="0" autoPict="0">
                <anchor moveWithCells="1">
                  <from>
                    <xdr:col>2</xdr:col>
                    <xdr:colOff>1514475</xdr:colOff>
                    <xdr:row>68</xdr:row>
                    <xdr:rowOff>0</xdr:rowOff>
                  </from>
                  <to>
                    <xdr:col>2</xdr:col>
                    <xdr:colOff>2981325</xdr:colOff>
                    <xdr:row>69</xdr:row>
                    <xdr:rowOff>38100</xdr:rowOff>
                  </to>
                </anchor>
              </controlPr>
            </control>
          </mc:Choice>
        </mc:AlternateContent>
        <mc:AlternateContent xmlns:mc="http://schemas.openxmlformats.org/markup-compatibility/2006">
          <mc:Choice Requires="x14">
            <control shapeId="1050" r:id="rId14" name="Check Box 26">
              <controlPr locked="0" defaultSize="0" autoFill="0" autoLine="0" autoPict="0">
                <anchor moveWithCells="1">
                  <from>
                    <xdr:col>2</xdr:col>
                    <xdr:colOff>1800225</xdr:colOff>
                    <xdr:row>80</xdr:row>
                    <xdr:rowOff>161925</xdr:rowOff>
                  </from>
                  <to>
                    <xdr:col>2</xdr:col>
                    <xdr:colOff>3267075</xdr:colOff>
                    <xdr:row>82</xdr:row>
                    <xdr:rowOff>38100</xdr:rowOff>
                  </to>
                </anchor>
              </controlPr>
            </control>
          </mc:Choice>
        </mc:AlternateContent>
        <mc:AlternateContent xmlns:mc="http://schemas.openxmlformats.org/markup-compatibility/2006">
          <mc:Choice Requires="x14">
            <control shapeId="1051" r:id="rId15" name="Check Box 27">
              <controlPr locked="0" defaultSize="0" autoFill="0" autoLine="0" autoPict="0">
                <anchor moveWithCells="1">
                  <from>
                    <xdr:col>2</xdr:col>
                    <xdr:colOff>1800225</xdr:colOff>
                    <xdr:row>84</xdr:row>
                    <xdr:rowOff>0</xdr:rowOff>
                  </from>
                  <to>
                    <xdr:col>2</xdr:col>
                    <xdr:colOff>3267075</xdr:colOff>
                    <xdr:row>85</xdr:row>
                    <xdr:rowOff>38100</xdr:rowOff>
                  </to>
                </anchor>
              </controlPr>
            </control>
          </mc:Choice>
        </mc:AlternateContent>
        <mc:AlternateContent xmlns:mc="http://schemas.openxmlformats.org/markup-compatibility/2006">
          <mc:Choice Requires="x14">
            <control shapeId="1053" r:id="rId16" name="Check Box 29">
              <controlPr locked="0" defaultSize="0" autoFill="0" autoLine="0" autoPict="0">
                <anchor moveWithCells="1">
                  <from>
                    <xdr:col>2</xdr:col>
                    <xdr:colOff>2085975</xdr:colOff>
                    <xdr:row>74</xdr:row>
                    <xdr:rowOff>0</xdr:rowOff>
                  </from>
                  <to>
                    <xdr:col>2</xdr:col>
                    <xdr:colOff>3552825</xdr:colOff>
                    <xdr:row>75</xdr:row>
                    <xdr:rowOff>38100</xdr:rowOff>
                  </to>
                </anchor>
              </controlPr>
            </control>
          </mc:Choice>
        </mc:AlternateContent>
        <mc:AlternateContent xmlns:mc="http://schemas.openxmlformats.org/markup-compatibility/2006">
          <mc:Choice Requires="x14">
            <control shapeId="1055" r:id="rId17" name="Check Box 31">
              <controlPr locked="0" defaultSize="0" autoFill="0" autoLine="0" autoPict="0">
                <anchor moveWithCells="1">
                  <from>
                    <xdr:col>2</xdr:col>
                    <xdr:colOff>1800225</xdr:colOff>
                    <xdr:row>79</xdr:row>
                    <xdr:rowOff>0</xdr:rowOff>
                  </from>
                  <to>
                    <xdr:col>2</xdr:col>
                    <xdr:colOff>3267075</xdr:colOff>
                    <xdr:row>80</xdr:row>
                    <xdr:rowOff>38100</xdr:rowOff>
                  </to>
                </anchor>
              </controlPr>
            </control>
          </mc:Choice>
        </mc:AlternateContent>
        <mc:AlternateContent xmlns:mc="http://schemas.openxmlformats.org/markup-compatibility/2006">
          <mc:Choice Requires="x14">
            <control shapeId="1057" r:id="rId18" name="Check Box 33">
              <controlPr locked="0" defaultSize="0" autoFill="0" autoLine="0" autoPict="0">
                <anchor moveWithCells="1">
                  <from>
                    <xdr:col>2</xdr:col>
                    <xdr:colOff>2333625</xdr:colOff>
                    <xdr:row>90</xdr:row>
                    <xdr:rowOff>0</xdr:rowOff>
                  </from>
                  <to>
                    <xdr:col>2</xdr:col>
                    <xdr:colOff>3800475</xdr:colOff>
                    <xdr:row>91</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SHARP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シャープ株式会社 ソリューション開発C 第2開発部</dc:creator>
  <cp:lastModifiedBy>Windows ユーザー</cp:lastModifiedBy>
  <cp:lastPrinted>2013-06-12T06:39:01Z</cp:lastPrinted>
  <dcterms:created xsi:type="dcterms:W3CDTF">2013-04-22T07:05:03Z</dcterms:created>
  <dcterms:modified xsi:type="dcterms:W3CDTF">2020-01-30T07:51:21Z</dcterms:modified>
</cp:coreProperties>
</file>